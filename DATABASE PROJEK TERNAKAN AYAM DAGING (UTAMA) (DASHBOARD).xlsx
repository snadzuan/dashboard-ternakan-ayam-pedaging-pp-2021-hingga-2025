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activeTab="2"/>
  </bookViews>
  <sheets>
    <sheet name="PERUNTUKKAN PROJEK" sheetId="1" r:id="rId1"/>
    <sheet name="PROFAIL PP" sheetId="2" r:id="rId2"/>
    <sheet name="DATABASE SISTEM TERBUKA" sheetId="3" r:id="rId3"/>
    <sheet name="DATABASE SISTEM TERTUTUP" sheetId="4" r:id="rId4"/>
    <sheet name="Sheet3" sheetId="5" r:id="rId5"/>
  </sheets>
  <calcPr calcId="162913"/>
</workbook>
</file>

<file path=xl/calcChain.xml><?xml version="1.0" encoding="utf-8"?>
<calcChain xmlns="http://schemas.openxmlformats.org/spreadsheetml/2006/main">
  <c r="X58" i="3" l="1"/>
  <c r="W58" i="3"/>
  <c r="V58" i="3"/>
  <c r="P58" i="3"/>
  <c r="Y58" i="3" s="1"/>
  <c r="O58" i="3"/>
  <c r="L58" i="3"/>
  <c r="K58" i="3"/>
  <c r="F41" i="3"/>
  <c r="F40" i="3"/>
  <c r="F39" i="3"/>
  <c r="F38" i="3"/>
  <c r="F37" i="3"/>
  <c r="F26" i="3"/>
  <c r="F25" i="3"/>
  <c r="F24" i="3"/>
  <c r="F23" i="3"/>
  <c r="F22" i="3"/>
  <c r="F16" i="3"/>
  <c r="F15" i="3"/>
  <c r="F14" i="3"/>
  <c r="F13" i="3"/>
  <c r="F12" i="3"/>
  <c r="F11" i="3"/>
  <c r="F7" i="3"/>
  <c r="F6" i="3"/>
  <c r="F5" i="3"/>
  <c r="F4" i="3"/>
  <c r="F3" i="3"/>
  <c r="F2" i="3"/>
  <c r="E16" i="1"/>
  <c r="G41" i="3"/>
  <c r="E72" i="3"/>
  <c r="Y67" i="3"/>
  <c r="I67" i="3"/>
  <c r="Q66" i="3"/>
  <c r="Y65" i="3"/>
  <c r="I65" i="3"/>
  <c r="Q64" i="3"/>
  <c r="D63" i="3"/>
  <c r="L62" i="3"/>
  <c r="T61" i="3"/>
  <c r="D61" i="3"/>
  <c r="L60" i="3"/>
  <c r="T59" i="3"/>
  <c r="D59" i="3"/>
  <c r="D58" i="3"/>
  <c r="L57" i="3"/>
  <c r="T56" i="3"/>
  <c r="D56" i="3"/>
  <c r="L55" i="3"/>
  <c r="T54" i="3"/>
  <c r="D54" i="3"/>
  <c r="L53" i="3"/>
  <c r="T52" i="3"/>
  <c r="D52" i="3"/>
  <c r="L51" i="3"/>
  <c r="T50" i="3"/>
  <c r="D50" i="3"/>
  <c r="L49" i="3"/>
  <c r="T48" i="3"/>
  <c r="D48" i="3"/>
  <c r="L47" i="3"/>
  <c r="T46" i="3"/>
  <c r="D46" i="3"/>
  <c r="L45" i="3"/>
  <c r="T44" i="3"/>
  <c r="D44" i="3"/>
  <c r="L43" i="3"/>
  <c r="T42" i="3"/>
  <c r="D42" i="3"/>
  <c r="L41" i="3"/>
  <c r="R40" i="3"/>
  <c r="X39" i="3"/>
  <c r="H39" i="3"/>
  <c r="N38" i="3"/>
  <c r="T37" i="3"/>
  <c r="Z36" i="3"/>
  <c r="J36" i="3"/>
  <c r="R35" i="3"/>
  <c r="Z34" i="3"/>
  <c r="J34" i="3"/>
  <c r="R33" i="3"/>
  <c r="Z32" i="3"/>
  <c r="J32" i="3"/>
  <c r="R31" i="3"/>
  <c r="Z30" i="3"/>
  <c r="J30" i="3"/>
  <c r="R29" i="3"/>
  <c r="Z28" i="3"/>
  <c r="J28" i="3"/>
  <c r="R27" i="3"/>
  <c r="Z26" i="3"/>
  <c r="J26" i="3"/>
  <c r="P25" i="3"/>
  <c r="V24" i="3"/>
  <c r="L23" i="3"/>
  <c r="R22" i="3"/>
  <c r="X21" i="3"/>
  <c r="H21" i="3"/>
  <c r="P20" i="3"/>
  <c r="X19" i="3"/>
  <c r="H19" i="3"/>
  <c r="P18" i="3"/>
  <c r="X17" i="3"/>
  <c r="H17" i="3"/>
  <c r="P16" i="3"/>
  <c r="V15" i="3"/>
  <c r="L14" i="3"/>
  <c r="R13" i="3"/>
  <c r="X12" i="3"/>
  <c r="H12" i="3"/>
  <c r="N11" i="3"/>
  <c r="T10" i="3"/>
  <c r="D10" i="3"/>
  <c r="L9" i="3"/>
  <c r="T8" i="3"/>
  <c r="D8" i="3"/>
  <c r="L7" i="3"/>
  <c r="R6" i="3"/>
  <c r="X5" i="3"/>
  <c r="H5" i="3"/>
  <c r="N4" i="3"/>
  <c r="T3" i="3"/>
  <c r="Z2" i="3"/>
  <c r="J2" i="3"/>
  <c r="N66" i="3"/>
  <c r="I51" i="3"/>
  <c r="Q48" i="3"/>
  <c r="Y45" i="3"/>
  <c r="Y43" i="3"/>
  <c r="Y41" i="3"/>
  <c r="U39" i="3"/>
  <c r="W36" i="3"/>
  <c r="G34" i="3"/>
  <c r="O31" i="3"/>
  <c r="W28" i="3"/>
  <c r="W26" i="3"/>
  <c r="Y23" i="3"/>
  <c r="U21" i="3"/>
  <c r="M18" i="3"/>
  <c r="S15" i="3"/>
  <c r="U12" i="3"/>
  <c r="Y9" i="3"/>
  <c r="Y7" i="3"/>
  <c r="AA4" i="3"/>
  <c r="W2" i="3"/>
  <c r="M5" i="3"/>
  <c r="P45" i="3"/>
  <c r="N34" i="3"/>
  <c r="N28" i="3"/>
  <c r="V22" i="3"/>
  <c r="L17" i="3"/>
  <c r="R11" i="3"/>
  <c r="L5" i="3"/>
  <c r="E77" i="3"/>
  <c r="D72" i="3"/>
  <c r="X67" i="3"/>
  <c r="H67" i="3"/>
  <c r="P66" i="3"/>
  <c r="X65" i="3"/>
  <c r="H65" i="3"/>
  <c r="P64" i="3"/>
  <c r="AA62" i="3"/>
  <c r="K62" i="3"/>
  <c r="S61" i="3"/>
  <c r="AA60" i="3"/>
  <c r="K60" i="3"/>
  <c r="S59" i="3"/>
  <c r="AA57" i="3"/>
  <c r="K57" i="3"/>
  <c r="S56" i="3"/>
  <c r="AA55" i="3"/>
  <c r="K55" i="3"/>
  <c r="S54" i="3"/>
  <c r="AA53" i="3"/>
  <c r="K53" i="3"/>
  <c r="S52" i="3"/>
  <c r="AA51" i="3"/>
  <c r="K51" i="3"/>
  <c r="S50" i="3"/>
  <c r="AA49" i="3"/>
  <c r="K49" i="3"/>
  <c r="S48" i="3"/>
  <c r="AA47" i="3"/>
  <c r="K47" i="3"/>
  <c r="S46" i="3"/>
  <c r="AA45" i="3"/>
  <c r="K45" i="3"/>
  <c r="S44" i="3"/>
  <c r="AA43" i="3"/>
  <c r="K43" i="3"/>
  <c r="S42" i="3"/>
  <c r="AA41" i="3"/>
  <c r="K41" i="3"/>
  <c r="Q40" i="3"/>
  <c r="W39" i="3"/>
  <c r="G39" i="3"/>
  <c r="M38" i="3"/>
  <c r="S37" i="3"/>
  <c r="Y36" i="3"/>
  <c r="I36" i="3"/>
  <c r="Q35" i="3"/>
  <c r="Y34" i="3"/>
  <c r="I34" i="3"/>
  <c r="Q33" i="3"/>
  <c r="Y32" i="3"/>
  <c r="I32" i="3"/>
  <c r="Q31" i="3"/>
  <c r="Y30" i="3"/>
  <c r="I30" i="3"/>
  <c r="Q29" i="3"/>
  <c r="Y28" i="3"/>
  <c r="I28" i="3"/>
  <c r="Q27" i="3"/>
  <c r="Y26" i="3"/>
  <c r="I26" i="3"/>
  <c r="O25" i="3"/>
  <c r="U24" i="3"/>
  <c r="AA23" i="3"/>
  <c r="K23" i="3"/>
  <c r="Q22" i="3"/>
  <c r="W21" i="3"/>
  <c r="G21" i="3"/>
  <c r="O20" i="3"/>
  <c r="W19" i="3"/>
  <c r="G19" i="3"/>
  <c r="O18" i="3"/>
  <c r="W17" i="3"/>
  <c r="G17" i="3"/>
  <c r="O16" i="3"/>
  <c r="U15" i="3"/>
  <c r="AA14" i="3"/>
  <c r="K14" i="3"/>
  <c r="Q13" i="3"/>
  <c r="W12" i="3"/>
  <c r="G12" i="3"/>
  <c r="M11" i="3"/>
  <c r="S10" i="3"/>
  <c r="AA9" i="3"/>
  <c r="K9" i="3"/>
  <c r="S8" i="3"/>
  <c r="AA7" i="3"/>
  <c r="K7" i="3"/>
  <c r="Q6" i="3"/>
  <c r="W5" i="3"/>
  <c r="G5" i="3"/>
  <c r="M4" i="3"/>
  <c r="S3" i="3"/>
  <c r="Y2" i="3"/>
  <c r="I2" i="3"/>
  <c r="Q61" i="3"/>
  <c r="I47" i="3"/>
  <c r="I41" i="3"/>
  <c r="Q37" i="3"/>
  <c r="O35" i="3"/>
  <c r="O33" i="3"/>
  <c r="G32" i="3"/>
  <c r="O29" i="3"/>
  <c r="O27" i="3"/>
  <c r="S24" i="3"/>
  <c r="O22" i="3"/>
  <c r="U19" i="3"/>
  <c r="E17" i="3"/>
  <c r="I14" i="3"/>
  <c r="Q10" i="3"/>
  <c r="Q8" i="3"/>
  <c r="U5" i="3"/>
  <c r="Q3" i="3"/>
  <c r="W6" i="3"/>
  <c r="P47" i="3"/>
  <c r="V35" i="3"/>
  <c r="V29" i="3"/>
  <c r="P23" i="3"/>
  <c r="T16" i="3"/>
  <c r="X10" i="3"/>
  <c r="X3" i="3"/>
  <c r="T66" i="3"/>
  <c r="D77" i="3"/>
  <c r="W67" i="3"/>
  <c r="G67" i="3"/>
  <c r="O66" i="3"/>
  <c r="W65" i="3"/>
  <c r="G65" i="3"/>
  <c r="O64" i="3"/>
  <c r="Z62" i="3"/>
  <c r="J62" i="3"/>
  <c r="R61" i="3"/>
  <c r="Z60" i="3"/>
  <c r="J60" i="3"/>
  <c r="R59" i="3"/>
  <c r="Z57" i="3"/>
  <c r="J57" i="3"/>
  <c r="R56" i="3"/>
  <c r="Z55" i="3"/>
  <c r="J55" i="3"/>
  <c r="R54" i="3"/>
  <c r="Z53" i="3"/>
  <c r="J53" i="3"/>
  <c r="R52" i="3"/>
  <c r="Z51" i="3"/>
  <c r="J51" i="3"/>
  <c r="R50" i="3"/>
  <c r="Z49" i="3"/>
  <c r="J49" i="3"/>
  <c r="R48" i="3"/>
  <c r="Z47" i="3"/>
  <c r="J47" i="3"/>
  <c r="R46" i="3"/>
  <c r="Z45" i="3"/>
  <c r="J45" i="3"/>
  <c r="R44" i="3"/>
  <c r="Z43" i="3"/>
  <c r="J43" i="3"/>
  <c r="R42" i="3"/>
  <c r="Z41" i="3"/>
  <c r="J41" i="3"/>
  <c r="P40" i="3"/>
  <c r="V39" i="3"/>
  <c r="L38" i="3"/>
  <c r="R37" i="3"/>
  <c r="X36" i="3"/>
  <c r="H36" i="3"/>
  <c r="P35" i="3"/>
  <c r="X34" i="3"/>
  <c r="H34" i="3"/>
  <c r="P33" i="3"/>
  <c r="X32" i="3"/>
  <c r="H32" i="3"/>
  <c r="P31" i="3"/>
  <c r="X30" i="3"/>
  <c r="H30" i="3"/>
  <c r="P29" i="3"/>
  <c r="X28" i="3"/>
  <c r="H28" i="3"/>
  <c r="P27" i="3"/>
  <c r="X26" i="3"/>
  <c r="H26" i="3"/>
  <c r="N25" i="3"/>
  <c r="T24" i="3"/>
  <c r="Z23" i="3"/>
  <c r="J23" i="3"/>
  <c r="P22" i="3"/>
  <c r="V21" i="3"/>
  <c r="N20" i="3"/>
  <c r="V19" i="3"/>
  <c r="N18" i="3"/>
  <c r="V17" i="3"/>
  <c r="N16" i="3"/>
  <c r="T15" i="3"/>
  <c r="Z14" i="3"/>
  <c r="J14" i="3"/>
  <c r="P13" i="3"/>
  <c r="V12" i="3"/>
  <c r="L11" i="3"/>
  <c r="R10" i="3"/>
  <c r="Z9" i="3"/>
  <c r="J9" i="3"/>
  <c r="R8" i="3"/>
  <c r="Z7" i="3"/>
  <c r="J7" i="3"/>
  <c r="P6" i="3"/>
  <c r="V5" i="3"/>
  <c r="L4" i="3"/>
  <c r="R3" i="3"/>
  <c r="X2" i="3"/>
  <c r="H2" i="3"/>
  <c r="I62" i="3"/>
  <c r="Q52" i="3"/>
  <c r="Q50" i="3"/>
  <c r="I49" i="3"/>
  <c r="Q46" i="3"/>
  <c r="Q44" i="3"/>
  <c r="I43" i="3"/>
  <c r="O40" i="3"/>
  <c r="K38" i="3"/>
  <c r="G36" i="3"/>
  <c r="W32" i="3"/>
  <c r="W30" i="3"/>
  <c r="G28" i="3"/>
  <c r="G26" i="3"/>
  <c r="I23" i="3"/>
  <c r="E21" i="3"/>
  <c r="E19" i="3"/>
  <c r="U17" i="3"/>
  <c r="Y14" i="3"/>
  <c r="O13" i="3"/>
  <c r="K11" i="3"/>
  <c r="I9" i="3"/>
  <c r="O6" i="3"/>
  <c r="K4" i="3"/>
  <c r="I3" i="3"/>
  <c r="H48" i="3"/>
  <c r="J24" i="3"/>
  <c r="Z15" i="3"/>
  <c r="P7" i="3"/>
  <c r="E71" i="3"/>
  <c r="V67" i="3"/>
  <c r="V65" i="3"/>
  <c r="N64" i="3"/>
  <c r="Y62" i="3"/>
  <c r="Y60" i="3"/>
  <c r="I60" i="3"/>
  <c r="Q59" i="3"/>
  <c r="Y57" i="3"/>
  <c r="I57" i="3"/>
  <c r="Q56" i="3"/>
  <c r="Y55" i="3"/>
  <c r="I55" i="3"/>
  <c r="Q54" i="3"/>
  <c r="Y53" i="3"/>
  <c r="I53" i="3"/>
  <c r="Y51" i="3"/>
  <c r="Y49" i="3"/>
  <c r="Y47" i="3"/>
  <c r="I45" i="3"/>
  <c r="Q42" i="3"/>
  <c r="AA38" i="3"/>
  <c r="W34" i="3"/>
  <c r="G30" i="3"/>
  <c r="M25" i="3"/>
  <c r="M20" i="3"/>
  <c r="M16" i="3"/>
  <c r="AA11" i="3"/>
  <c r="I7" i="3"/>
  <c r="G2" i="3"/>
  <c r="H44" i="3"/>
  <c r="V13" i="3"/>
  <c r="E76" i="3"/>
  <c r="D71" i="3"/>
  <c r="U67" i="3"/>
  <c r="E67" i="3"/>
  <c r="M66" i="3"/>
  <c r="U65" i="3"/>
  <c r="E65" i="3"/>
  <c r="M64" i="3"/>
  <c r="X62" i="3"/>
  <c r="H62" i="3"/>
  <c r="P61" i="3"/>
  <c r="X60" i="3"/>
  <c r="H60" i="3"/>
  <c r="P59" i="3"/>
  <c r="X57" i="3"/>
  <c r="H57" i="3"/>
  <c r="P56" i="3"/>
  <c r="X55" i="3"/>
  <c r="H55" i="3"/>
  <c r="P54" i="3"/>
  <c r="X53" i="3"/>
  <c r="H53" i="3"/>
  <c r="P52" i="3"/>
  <c r="X51" i="3"/>
  <c r="H51" i="3"/>
  <c r="P50" i="3"/>
  <c r="X49" i="3"/>
  <c r="H49" i="3"/>
  <c r="P48" i="3"/>
  <c r="X47" i="3"/>
  <c r="H47" i="3"/>
  <c r="P46" i="3"/>
  <c r="X45" i="3"/>
  <c r="H45" i="3"/>
  <c r="P44" i="3"/>
  <c r="X43" i="3"/>
  <c r="H43" i="3"/>
  <c r="P42" i="3"/>
  <c r="X41" i="3"/>
  <c r="H41" i="3"/>
  <c r="N40" i="3"/>
  <c r="T39" i="3"/>
  <c r="Z38" i="3"/>
  <c r="J38" i="3"/>
  <c r="P37" i="3"/>
  <c r="V36" i="3"/>
  <c r="N35" i="3"/>
  <c r="V34" i="3"/>
  <c r="N33" i="3"/>
  <c r="V32" i="3"/>
  <c r="N31" i="3"/>
  <c r="V30" i="3"/>
  <c r="N29" i="3"/>
  <c r="V28" i="3"/>
  <c r="N27" i="3"/>
  <c r="V26" i="3"/>
  <c r="L25" i="3"/>
  <c r="R24" i="3"/>
  <c r="X23" i="3"/>
  <c r="H23" i="3"/>
  <c r="N22" i="3"/>
  <c r="T21" i="3"/>
  <c r="D21" i="3"/>
  <c r="L20" i="3"/>
  <c r="T19" i="3"/>
  <c r="D19" i="3"/>
  <c r="L18" i="3"/>
  <c r="T17" i="3"/>
  <c r="D17" i="3"/>
  <c r="L16" i="3"/>
  <c r="R15" i="3"/>
  <c r="X14" i="3"/>
  <c r="H14" i="3"/>
  <c r="N13" i="3"/>
  <c r="T12" i="3"/>
  <c r="Z11" i="3"/>
  <c r="J11" i="3"/>
  <c r="P10" i="3"/>
  <c r="X9" i="3"/>
  <c r="H9" i="3"/>
  <c r="P8" i="3"/>
  <c r="X7" i="3"/>
  <c r="H7" i="3"/>
  <c r="N6" i="3"/>
  <c r="T5" i="3"/>
  <c r="Z4" i="3"/>
  <c r="J4" i="3"/>
  <c r="P3" i="3"/>
  <c r="V2" i="3"/>
  <c r="N65" i="3"/>
  <c r="I56" i="3"/>
  <c r="Y52" i="3"/>
  <c r="I50" i="3"/>
  <c r="Q47" i="3"/>
  <c r="Y44" i="3"/>
  <c r="Y42" i="3"/>
  <c r="G40" i="3"/>
  <c r="O36" i="3"/>
  <c r="W33" i="3"/>
  <c r="G31" i="3"/>
  <c r="W27" i="3"/>
  <c r="K24" i="3"/>
  <c r="U20" i="3"/>
  <c r="U18" i="3"/>
  <c r="AA15" i="3"/>
  <c r="S11" i="3"/>
  <c r="Q9" i="3"/>
  <c r="S4" i="3"/>
  <c r="P43" i="3"/>
  <c r="V31" i="3"/>
  <c r="P14" i="3"/>
  <c r="V6" i="3"/>
  <c r="D66" i="3"/>
  <c r="D76" i="3"/>
  <c r="T67" i="3"/>
  <c r="D67" i="3"/>
  <c r="L66" i="3"/>
  <c r="T65" i="3"/>
  <c r="D65" i="3"/>
  <c r="L64" i="3"/>
  <c r="W62" i="3"/>
  <c r="G62" i="3"/>
  <c r="O61" i="3"/>
  <c r="W60" i="3"/>
  <c r="G60" i="3"/>
  <c r="O59" i="3"/>
  <c r="W57" i="3"/>
  <c r="G57" i="3"/>
  <c r="O56" i="3"/>
  <c r="W55" i="3"/>
  <c r="G55" i="3"/>
  <c r="O54" i="3"/>
  <c r="W53" i="3"/>
  <c r="G53" i="3"/>
  <c r="O52" i="3"/>
  <c r="W51" i="3"/>
  <c r="G51" i="3"/>
  <c r="O50" i="3"/>
  <c r="W49" i="3"/>
  <c r="G49" i="3"/>
  <c r="O48" i="3"/>
  <c r="W47" i="3"/>
  <c r="G47" i="3"/>
  <c r="O46" i="3"/>
  <c r="W45" i="3"/>
  <c r="G45" i="3"/>
  <c r="O44" i="3"/>
  <c r="W43" i="3"/>
  <c r="G43" i="3"/>
  <c r="O42" i="3"/>
  <c r="W41" i="3"/>
  <c r="M40" i="3"/>
  <c r="S39" i="3"/>
  <c r="Y38" i="3"/>
  <c r="I38" i="3"/>
  <c r="O37" i="3"/>
  <c r="U36" i="3"/>
  <c r="E36" i="3"/>
  <c r="M35" i="3"/>
  <c r="U34" i="3"/>
  <c r="E34" i="3"/>
  <c r="M33" i="3"/>
  <c r="U32" i="3"/>
  <c r="E32" i="3"/>
  <c r="M31" i="3"/>
  <c r="U30" i="3"/>
  <c r="E30" i="3"/>
  <c r="M29" i="3"/>
  <c r="U28" i="3"/>
  <c r="E28" i="3"/>
  <c r="M27" i="3"/>
  <c r="U26" i="3"/>
  <c r="AA25" i="3"/>
  <c r="K25" i="3"/>
  <c r="Q24" i="3"/>
  <c r="W23" i="3"/>
  <c r="G23" i="3"/>
  <c r="M22" i="3"/>
  <c r="S21" i="3"/>
  <c r="AA20" i="3"/>
  <c r="K20" i="3"/>
  <c r="S19" i="3"/>
  <c r="AA18" i="3"/>
  <c r="K18" i="3"/>
  <c r="S17" i="3"/>
  <c r="AA16" i="3"/>
  <c r="K16" i="3"/>
  <c r="Q15" i="3"/>
  <c r="W14" i="3"/>
  <c r="G14" i="3"/>
  <c r="M13" i="3"/>
  <c r="S12" i="3"/>
  <c r="Y11" i="3"/>
  <c r="I11" i="3"/>
  <c r="O10" i="3"/>
  <c r="W9" i="3"/>
  <c r="G9" i="3"/>
  <c r="O8" i="3"/>
  <c r="W7" i="3"/>
  <c r="G7" i="3"/>
  <c r="M6" i="3"/>
  <c r="S5" i="3"/>
  <c r="Y4" i="3"/>
  <c r="I4" i="3"/>
  <c r="O3" i="3"/>
  <c r="U2" i="3"/>
  <c r="V64" i="3"/>
  <c r="I37" i="3"/>
  <c r="Q23" i="3"/>
  <c r="Q14" i="3"/>
  <c r="I8" i="3"/>
  <c r="X46" i="3"/>
  <c r="N36" i="3"/>
  <c r="N30" i="3"/>
  <c r="Z24" i="3"/>
  <c r="T18" i="3"/>
  <c r="L12" i="3"/>
  <c r="T64" i="3"/>
  <c r="E70" i="3"/>
  <c r="S67" i="3"/>
  <c r="AA66" i="3"/>
  <c r="K66" i="3"/>
  <c r="S65" i="3"/>
  <c r="AA64" i="3"/>
  <c r="K64" i="3"/>
  <c r="V62" i="3"/>
  <c r="N61" i="3"/>
  <c r="V60" i="3"/>
  <c r="N59" i="3"/>
  <c r="V57" i="3"/>
  <c r="N56" i="3"/>
  <c r="V55" i="3"/>
  <c r="N54" i="3"/>
  <c r="V53" i="3"/>
  <c r="N52" i="3"/>
  <c r="V51" i="3"/>
  <c r="N50" i="3"/>
  <c r="V49" i="3"/>
  <c r="N48" i="3"/>
  <c r="V47" i="3"/>
  <c r="N46" i="3"/>
  <c r="V45" i="3"/>
  <c r="N44" i="3"/>
  <c r="V43" i="3"/>
  <c r="N42" i="3"/>
  <c r="V41" i="3"/>
  <c r="L40" i="3"/>
  <c r="R39" i="3"/>
  <c r="X38" i="3"/>
  <c r="H38" i="3"/>
  <c r="N37" i="3"/>
  <c r="T36" i="3"/>
  <c r="D36" i="3"/>
  <c r="L35" i="3"/>
  <c r="T34" i="3"/>
  <c r="D34" i="3"/>
  <c r="L33" i="3"/>
  <c r="T32" i="3"/>
  <c r="D32" i="3"/>
  <c r="L31" i="3"/>
  <c r="T30" i="3"/>
  <c r="D30" i="3"/>
  <c r="L29" i="3"/>
  <c r="T28" i="3"/>
  <c r="D28" i="3"/>
  <c r="L27" i="3"/>
  <c r="T26" i="3"/>
  <c r="Z25" i="3"/>
  <c r="J25" i="3"/>
  <c r="P24" i="3"/>
  <c r="V23" i="3"/>
  <c r="L22" i="3"/>
  <c r="R21" i="3"/>
  <c r="Z20" i="3"/>
  <c r="J20" i="3"/>
  <c r="R19" i="3"/>
  <c r="Z18" i="3"/>
  <c r="J18" i="3"/>
  <c r="R17" i="3"/>
  <c r="Z16" i="3"/>
  <c r="J16" i="3"/>
  <c r="P15" i="3"/>
  <c r="V14" i="3"/>
  <c r="L13" i="3"/>
  <c r="R12" i="3"/>
  <c r="X11" i="3"/>
  <c r="H11" i="3"/>
  <c r="N10" i="3"/>
  <c r="V9" i="3"/>
  <c r="N8" i="3"/>
  <c r="V7" i="3"/>
  <c r="L6" i="3"/>
  <c r="R5" i="3"/>
  <c r="X4" i="3"/>
  <c r="H4" i="3"/>
  <c r="N3" i="3"/>
  <c r="T2" i="3"/>
  <c r="N67" i="3"/>
  <c r="Q55" i="3"/>
  <c r="I52" i="3"/>
  <c r="Q49" i="3"/>
  <c r="Y46" i="3"/>
  <c r="I44" i="3"/>
  <c r="Q41" i="3"/>
  <c r="M39" i="3"/>
  <c r="G35" i="3"/>
  <c r="W31" i="3"/>
  <c r="G29" i="3"/>
  <c r="U25" i="3"/>
  <c r="M21" i="3"/>
  <c r="M19" i="3"/>
  <c r="U16" i="3"/>
  <c r="W13" i="3"/>
  <c r="I10" i="3"/>
  <c r="G6" i="3"/>
  <c r="H42" i="3"/>
  <c r="V27" i="3"/>
  <c r="L19" i="3"/>
  <c r="P9" i="3"/>
  <c r="E75" i="3"/>
  <c r="D70" i="3"/>
  <c r="R67" i="3"/>
  <c r="Z66" i="3"/>
  <c r="J66" i="3"/>
  <c r="R65" i="3"/>
  <c r="Z64" i="3"/>
  <c r="J64" i="3"/>
  <c r="U62" i="3"/>
  <c r="E62" i="3"/>
  <c r="M61" i="3"/>
  <c r="U60" i="3"/>
  <c r="E60" i="3"/>
  <c r="M59" i="3"/>
  <c r="U57" i="3"/>
  <c r="E57" i="3"/>
  <c r="M56" i="3"/>
  <c r="U55" i="3"/>
  <c r="E55" i="3"/>
  <c r="M54" i="3"/>
  <c r="U53" i="3"/>
  <c r="E53" i="3"/>
  <c r="M52" i="3"/>
  <c r="U51" i="3"/>
  <c r="E51" i="3"/>
  <c r="M50" i="3"/>
  <c r="U49" i="3"/>
  <c r="E49" i="3"/>
  <c r="M48" i="3"/>
  <c r="U47" i="3"/>
  <c r="E47" i="3"/>
  <c r="M46" i="3"/>
  <c r="U45" i="3"/>
  <c r="E45" i="3"/>
  <c r="M44" i="3"/>
  <c r="U43" i="3"/>
  <c r="E43" i="3"/>
  <c r="M42" i="3"/>
  <c r="U41" i="3"/>
  <c r="AA40" i="3"/>
  <c r="K40" i="3"/>
  <c r="Q39" i="3"/>
  <c r="W38" i="3"/>
  <c r="G38" i="3"/>
  <c r="M37" i="3"/>
  <c r="S36" i="3"/>
  <c r="AA35" i="3"/>
  <c r="K35" i="3"/>
  <c r="S34" i="3"/>
  <c r="AA33" i="3"/>
  <c r="K33" i="3"/>
  <c r="S32" i="3"/>
  <c r="AA31" i="3"/>
  <c r="K31" i="3"/>
  <c r="S30" i="3"/>
  <c r="AA29" i="3"/>
  <c r="K29" i="3"/>
  <c r="S28" i="3"/>
  <c r="AA27" i="3"/>
  <c r="K27" i="3"/>
  <c r="S26" i="3"/>
  <c r="Y25" i="3"/>
  <c r="I25" i="3"/>
  <c r="O24" i="3"/>
  <c r="U23" i="3"/>
  <c r="AA22" i="3"/>
  <c r="K22" i="3"/>
  <c r="Q21" i="3"/>
  <c r="Y20" i="3"/>
  <c r="I20" i="3"/>
  <c r="Q19" i="3"/>
  <c r="Y18" i="3"/>
  <c r="I18" i="3"/>
  <c r="Q17" i="3"/>
  <c r="Y16" i="3"/>
  <c r="I16" i="3"/>
  <c r="O15" i="3"/>
  <c r="AA13" i="3"/>
  <c r="K13" i="3"/>
  <c r="Q12" i="3"/>
  <c r="W11" i="3"/>
  <c r="G11" i="3"/>
  <c r="M10" i="3"/>
  <c r="U9" i="3"/>
  <c r="E9" i="3"/>
  <c r="M8" i="3"/>
  <c r="U7" i="3"/>
  <c r="AA6" i="3"/>
  <c r="K6" i="3"/>
  <c r="Q5" i="3"/>
  <c r="W4" i="3"/>
  <c r="G4" i="3"/>
  <c r="M3" i="3"/>
  <c r="S2" i="3"/>
  <c r="V66" i="3"/>
  <c r="Q57" i="3"/>
  <c r="I54" i="3"/>
  <c r="Y50" i="3"/>
  <c r="I48" i="3"/>
  <c r="Q45" i="3"/>
  <c r="I42" i="3"/>
  <c r="Y37" i="3"/>
  <c r="O34" i="3"/>
  <c r="O32" i="3"/>
  <c r="W29" i="3"/>
  <c r="G27" i="3"/>
  <c r="G22" i="3"/>
  <c r="M17" i="3"/>
  <c r="G13" i="3"/>
  <c r="Y8" i="3"/>
  <c r="O2" i="3"/>
  <c r="X42" i="3"/>
  <c r="T20" i="3"/>
  <c r="H10" i="3"/>
  <c r="D75" i="3"/>
  <c r="Q67" i="3"/>
  <c r="Y66" i="3"/>
  <c r="I66" i="3"/>
  <c r="Q65" i="3"/>
  <c r="Y64" i="3"/>
  <c r="I64" i="3"/>
  <c r="T62" i="3"/>
  <c r="D62" i="3"/>
  <c r="L61" i="3"/>
  <c r="T60" i="3"/>
  <c r="D60" i="3"/>
  <c r="L59" i="3"/>
  <c r="T57" i="3"/>
  <c r="D57" i="3"/>
  <c r="L56" i="3"/>
  <c r="T55" i="3"/>
  <c r="D55" i="3"/>
  <c r="L54" i="3"/>
  <c r="T53" i="3"/>
  <c r="D53" i="3"/>
  <c r="L52" i="3"/>
  <c r="T51" i="3"/>
  <c r="D51" i="3"/>
  <c r="L50" i="3"/>
  <c r="T49" i="3"/>
  <c r="D49" i="3"/>
  <c r="L48" i="3"/>
  <c r="T47" i="3"/>
  <c r="D47" i="3"/>
  <c r="L46" i="3"/>
  <c r="T45" i="3"/>
  <c r="D45" i="3"/>
  <c r="L44" i="3"/>
  <c r="T43" i="3"/>
  <c r="D43" i="3"/>
  <c r="L42" i="3"/>
  <c r="T41" i="3"/>
  <c r="Z40" i="3"/>
  <c r="J40" i="3"/>
  <c r="P39" i="3"/>
  <c r="V38" i="3"/>
  <c r="L37" i="3"/>
  <c r="R36" i="3"/>
  <c r="Z35" i="3"/>
  <c r="J35" i="3"/>
  <c r="R34" i="3"/>
  <c r="Z33" i="3"/>
  <c r="J33" i="3"/>
  <c r="R32" i="3"/>
  <c r="Z31" i="3"/>
  <c r="J31" i="3"/>
  <c r="R30" i="3"/>
  <c r="Z29" i="3"/>
  <c r="J29" i="3"/>
  <c r="R28" i="3"/>
  <c r="Z27" i="3"/>
  <c r="J27" i="3"/>
  <c r="R26" i="3"/>
  <c r="X25" i="3"/>
  <c r="H25" i="3"/>
  <c r="N24" i="3"/>
  <c r="T23" i="3"/>
  <c r="Z22" i="3"/>
  <c r="J22" i="3"/>
  <c r="P21" i="3"/>
  <c r="X20" i="3"/>
  <c r="H20" i="3"/>
  <c r="P19" i="3"/>
  <c r="X18" i="3"/>
  <c r="H18" i="3"/>
  <c r="P17" i="3"/>
  <c r="X16" i="3"/>
  <c r="H16" i="3"/>
  <c r="N15" i="3"/>
  <c r="T14" i="3"/>
  <c r="Z13" i="3"/>
  <c r="J13" i="3"/>
  <c r="P12" i="3"/>
  <c r="V11" i="3"/>
  <c r="L10" i="3"/>
  <c r="T9" i="3"/>
  <c r="D9" i="3"/>
  <c r="L8" i="3"/>
  <c r="T7" i="3"/>
  <c r="Z6" i="3"/>
  <c r="J6" i="3"/>
  <c r="P5" i="3"/>
  <c r="V4" i="3"/>
  <c r="L3" i="3"/>
  <c r="R2" i="3"/>
  <c r="E69" i="3"/>
  <c r="P67" i="3"/>
  <c r="X66" i="3"/>
  <c r="H66" i="3"/>
  <c r="P65" i="3"/>
  <c r="X64" i="3"/>
  <c r="H64" i="3"/>
  <c r="S62" i="3"/>
  <c r="AA61" i="3"/>
  <c r="K61" i="3"/>
  <c r="S60" i="3"/>
  <c r="AA59" i="3"/>
  <c r="K59" i="3"/>
  <c r="S57" i="3"/>
  <c r="AA56" i="3"/>
  <c r="K56" i="3"/>
  <c r="S55" i="3"/>
  <c r="AA54" i="3"/>
  <c r="K54" i="3"/>
  <c r="S53" i="3"/>
  <c r="AA52" i="3"/>
  <c r="K52" i="3"/>
  <c r="S51" i="3"/>
  <c r="AA50" i="3"/>
  <c r="K50" i="3"/>
  <c r="S49" i="3"/>
  <c r="AA48" i="3"/>
  <c r="K48" i="3"/>
  <c r="S47" i="3"/>
  <c r="AA46" i="3"/>
  <c r="K46" i="3"/>
  <c r="S45" i="3"/>
  <c r="AA44" i="3"/>
  <c r="K44" i="3"/>
  <c r="S43" i="3"/>
  <c r="AA42" i="3"/>
  <c r="K42" i="3"/>
  <c r="S41" i="3"/>
  <c r="Y40" i="3"/>
  <c r="I40" i="3"/>
  <c r="O39" i="3"/>
  <c r="U38" i="3"/>
  <c r="AA37" i="3"/>
  <c r="K37" i="3"/>
  <c r="Q36" i="3"/>
  <c r="Y35" i="3"/>
  <c r="I35" i="3"/>
  <c r="Q34" i="3"/>
  <c r="Y33" i="3"/>
  <c r="I33" i="3"/>
  <c r="Q32" i="3"/>
  <c r="Y31" i="3"/>
  <c r="I31" i="3"/>
  <c r="Q30" i="3"/>
  <c r="Y29" i="3"/>
  <c r="I29" i="3"/>
  <c r="Q28" i="3"/>
  <c r="Y27" i="3"/>
  <c r="I27" i="3"/>
  <c r="Q26" i="3"/>
  <c r="W25" i="3"/>
  <c r="G25" i="3"/>
  <c r="M24" i="3"/>
  <c r="S23" i="3"/>
  <c r="Y22" i="3"/>
  <c r="I22" i="3"/>
  <c r="O21" i="3"/>
  <c r="W20" i="3"/>
  <c r="G20" i="3"/>
  <c r="O19" i="3"/>
  <c r="W18" i="3"/>
  <c r="G18" i="3"/>
  <c r="O17" i="3"/>
  <c r="W16" i="3"/>
  <c r="G16" i="3"/>
  <c r="M15" i="3"/>
  <c r="S14" i="3"/>
  <c r="Y13" i="3"/>
  <c r="I13" i="3"/>
  <c r="O12" i="3"/>
  <c r="U11" i="3"/>
  <c r="AA10" i="3"/>
  <c r="K10" i="3"/>
  <c r="S9" i="3"/>
  <c r="AA8" i="3"/>
  <c r="K8" i="3"/>
  <c r="S7" i="3"/>
  <c r="Y6" i="3"/>
  <c r="I6" i="3"/>
  <c r="O5" i="3"/>
  <c r="U4" i="3"/>
  <c r="AA3" i="3"/>
  <c r="K3" i="3"/>
  <c r="Q2" i="3"/>
  <c r="Y61" i="3"/>
  <c r="I61" i="3"/>
  <c r="Y59" i="3"/>
  <c r="AA24" i="3"/>
  <c r="V40" i="3"/>
  <c r="L21" i="3"/>
  <c r="J15" i="3"/>
  <c r="H8" i="3"/>
  <c r="H3" i="3"/>
  <c r="E74" i="3"/>
  <c r="D69" i="3"/>
  <c r="O67" i="3"/>
  <c r="W66" i="3"/>
  <c r="G66" i="3"/>
  <c r="O65" i="3"/>
  <c r="W64" i="3"/>
  <c r="G64" i="3"/>
  <c r="R62" i="3"/>
  <c r="Z61" i="3"/>
  <c r="J61" i="3"/>
  <c r="R60" i="3"/>
  <c r="Z59" i="3"/>
  <c r="J59" i="3"/>
  <c r="R57" i="3"/>
  <c r="Z56" i="3"/>
  <c r="J56" i="3"/>
  <c r="R55" i="3"/>
  <c r="Z54" i="3"/>
  <c r="J54" i="3"/>
  <c r="R53" i="3"/>
  <c r="Z52" i="3"/>
  <c r="J52" i="3"/>
  <c r="R51" i="3"/>
  <c r="Z50" i="3"/>
  <c r="J50" i="3"/>
  <c r="R49" i="3"/>
  <c r="Z48" i="3"/>
  <c r="J48" i="3"/>
  <c r="R47" i="3"/>
  <c r="Z46" i="3"/>
  <c r="J46" i="3"/>
  <c r="R45" i="3"/>
  <c r="Z44" i="3"/>
  <c r="J44" i="3"/>
  <c r="R43" i="3"/>
  <c r="Z42" i="3"/>
  <c r="J42" i="3"/>
  <c r="R41" i="3"/>
  <c r="X40" i="3"/>
  <c r="H40" i="3"/>
  <c r="N39" i="3"/>
  <c r="T38" i="3"/>
  <c r="Z37" i="3"/>
  <c r="J37" i="3"/>
  <c r="P36" i="3"/>
  <c r="X35" i="3"/>
  <c r="H35" i="3"/>
  <c r="P34" i="3"/>
  <c r="X33" i="3"/>
  <c r="H33" i="3"/>
  <c r="P32" i="3"/>
  <c r="X31" i="3"/>
  <c r="H31" i="3"/>
  <c r="P30" i="3"/>
  <c r="X29" i="3"/>
  <c r="H29" i="3"/>
  <c r="P28" i="3"/>
  <c r="X27" i="3"/>
  <c r="H27" i="3"/>
  <c r="P26" i="3"/>
  <c r="V25" i="3"/>
  <c r="L24" i="3"/>
  <c r="R23" i="3"/>
  <c r="X22" i="3"/>
  <c r="H22" i="3"/>
  <c r="N21" i="3"/>
  <c r="V20" i="3"/>
  <c r="N19" i="3"/>
  <c r="V18" i="3"/>
  <c r="N17" i="3"/>
  <c r="V16" i="3"/>
  <c r="L15" i="3"/>
  <c r="R14" i="3"/>
  <c r="X13" i="3"/>
  <c r="H13" i="3"/>
  <c r="N12" i="3"/>
  <c r="T11" i="3"/>
  <c r="Z10" i="3"/>
  <c r="J10" i="3"/>
  <c r="R9" i="3"/>
  <c r="Z8" i="3"/>
  <c r="J8" i="3"/>
  <c r="R7" i="3"/>
  <c r="X6" i="3"/>
  <c r="H6" i="3"/>
  <c r="N5" i="3"/>
  <c r="T4" i="3"/>
  <c r="Z3" i="3"/>
  <c r="J3" i="3"/>
  <c r="P2" i="3"/>
  <c r="Q62" i="3"/>
  <c r="Q60" i="3"/>
  <c r="I59" i="3"/>
  <c r="Y56" i="3"/>
  <c r="Y54" i="3"/>
  <c r="Q53" i="3"/>
  <c r="Q51" i="3"/>
  <c r="Y48" i="3"/>
  <c r="I46" i="3"/>
  <c r="Q43" i="3"/>
  <c r="W40" i="3"/>
  <c r="S38" i="3"/>
  <c r="W35" i="3"/>
  <c r="G33" i="3"/>
  <c r="O30" i="3"/>
  <c r="O28" i="3"/>
  <c r="O26" i="3"/>
  <c r="W22" i="3"/>
  <c r="E20" i="3"/>
  <c r="E18" i="3"/>
  <c r="K15" i="3"/>
  <c r="M12" i="3"/>
  <c r="Y10" i="3"/>
  <c r="Q7" i="3"/>
  <c r="Y3" i="3"/>
  <c r="H46" i="3"/>
  <c r="V33" i="3"/>
  <c r="T25" i="3"/>
  <c r="D18" i="3"/>
  <c r="X8" i="3"/>
  <c r="N2" i="3"/>
  <c r="D64" i="3"/>
  <c r="D74" i="3"/>
  <c r="E68" i="3"/>
  <c r="M67" i="3"/>
  <c r="U66" i="3"/>
  <c r="E66" i="3"/>
  <c r="M65" i="3"/>
  <c r="U64" i="3"/>
  <c r="E64" i="3"/>
  <c r="P62" i="3"/>
  <c r="X61" i="3"/>
  <c r="H61" i="3"/>
  <c r="P60" i="3"/>
  <c r="X59" i="3"/>
  <c r="H59" i="3"/>
  <c r="P57" i="3"/>
  <c r="X56" i="3"/>
  <c r="H56" i="3"/>
  <c r="P55" i="3"/>
  <c r="X54" i="3"/>
  <c r="H54" i="3"/>
  <c r="P53" i="3"/>
  <c r="X52" i="3"/>
  <c r="H52" i="3"/>
  <c r="P51" i="3"/>
  <c r="X50" i="3"/>
  <c r="H50" i="3"/>
  <c r="P49" i="3"/>
  <c r="X48" i="3"/>
  <c r="X44" i="3"/>
  <c r="P41" i="3"/>
  <c r="L39" i="3"/>
  <c r="R38" i="3"/>
  <c r="X37" i="3"/>
  <c r="H37" i="3"/>
  <c r="N32" i="3"/>
  <c r="N26" i="3"/>
  <c r="D20" i="3"/>
  <c r="R4" i="3"/>
  <c r="L65" i="3"/>
  <c r="D73" i="3"/>
  <c r="AA67" i="3"/>
  <c r="K67" i="3"/>
  <c r="S66" i="3"/>
  <c r="AA65" i="3"/>
  <c r="K65" i="3"/>
  <c r="S64" i="3"/>
  <c r="N62" i="3"/>
  <c r="V61" i="3"/>
  <c r="N60" i="3"/>
  <c r="V59" i="3"/>
  <c r="N57" i="3"/>
  <c r="V56" i="3"/>
  <c r="N55" i="3"/>
  <c r="V54" i="3"/>
  <c r="N53" i="3"/>
  <c r="V52" i="3"/>
  <c r="N51" i="3"/>
  <c r="V50" i="3"/>
  <c r="N49" i="3"/>
  <c r="V48" i="3"/>
  <c r="N47" i="3"/>
  <c r="V46" i="3"/>
  <c r="N45" i="3"/>
  <c r="V44" i="3"/>
  <c r="N43" i="3"/>
  <c r="V42" i="3"/>
  <c r="N41" i="3"/>
  <c r="T40" i="3"/>
  <c r="Z39" i="3"/>
  <c r="J39" i="3"/>
  <c r="P38" i="3"/>
  <c r="V37" i="3"/>
  <c r="L36" i="3"/>
  <c r="T35" i="3"/>
  <c r="D35" i="3"/>
  <c r="L34" i="3"/>
  <c r="T33" i="3"/>
  <c r="D33" i="3"/>
  <c r="L32" i="3"/>
  <c r="T31" i="3"/>
  <c r="D31" i="3"/>
  <c r="L30" i="3"/>
  <c r="T29" i="3"/>
  <c r="D29" i="3"/>
  <c r="L28" i="3"/>
  <c r="T27" i="3"/>
  <c r="D27" i="3"/>
  <c r="E73" i="3"/>
  <c r="E61" i="3"/>
  <c r="M57" i="3"/>
  <c r="E52" i="3"/>
  <c r="U46" i="3"/>
  <c r="M41" i="3"/>
  <c r="U31" i="3"/>
  <c r="M26" i="3"/>
  <c r="N23" i="3"/>
  <c r="AA19" i="3"/>
  <c r="R16" i="3"/>
  <c r="S13" i="3"/>
  <c r="G10" i="3"/>
  <c r="U6" i="3"/>
  <c r="V3" i="3"/>
  <c r="M23" i="3"/>
  <c r="Z19" i="3"/>
  <c r="Q16" i="3"/>
  <c r="U3" i="3"/>
  <c r="D68" i="3"/>
  <c r="M60" i="3"/>
  <c r="M51" i="3"/>
  <c r="E46" i="3"/>
  <c r="U40" i="3"/>
  <c r="M36" i="3"/>
  <c r="E31" i="3"/>
  <c r="Y19" i="3"/>
  <c r="AA12" i="3"/>
  <c r="S6" i="3"/>
  <c r="Z67" i="3"/>
  <c r="G56" i="3"/>
  <c r="O45" i="3"/>
  <c r="K36" i="3"/>
  <c r="U22" i="3"/>
  <c r="Y15" i="3"/>
  <c r="O9" i="3"/>
  <c r="U59" i="3"/>
  <c r="M45" i="3"/>
  <c r="U35" i="3"/>
  <c r="M30" i="3"/>
  <c r="T22" i="3"/>
  <c r="Y12" i="3"/>
  <c r="AA5" i="3"/>
  <c r="AA2" i="3"/>
  <c r="O55" i="3"/>
  <c r="AA39" i="3"/>
  <c r="S22" i="3"/>
  <c r="I19" i="3"/>
  <c r="M9" i="3"/>
  <c r="E35" i="3"/>
  <c r="G44" i="3"/>
  <c r="S29" i="3"/>
  <c r="R18" i="3"/>
  <c r="V8" i="3"/>
  <c r="M49" i="3"/>
  <c r="M34" i="3"/>
  <c r="G15" i="3"/>
  <c r="G54" i="3"/>
  <c r="E63" i="3"/>
  <c r="O14" i="3"/>
  <c r="O38" i="3"/>
  <c r="Y17" i="3"/>
  <c r="U42" i="3"/>
  <c r="M14" i="3"/>
  <c r="O47" i="3"/>
  <c r="W10" i="3"/>
  <c r="E42" i="3"/>
  <c r="G37" i="3"/>
  <c r="O60" i="3"/>
  <c r="W56" i="3"/>
  <c r="O51" i="3"/>
  <c r="G46" i="3"/>
  <c r="AA36" i="3"/>
  <c r="S31" i="3"/>
  <c r="L26" i="3"/>
  <c r="T6" i="3"/>
  <c r="U56" i="3"/>
  <c r="K26" i="3"/>
  <c r="E10" i="3"/>
  <c r="G3" i="3"/>
  <c r="W59" i="3"/>
  <c r="W50" i="3"/>
  <c r="S40" i="3"/>
  <c r="AA30" i="3"/>
  <c r="K19" i="3"/>
  <c r="Z12" i="3"/>
  <c r="U50" i="3"/>
  <c r="S25" i="3"/>
  <c r="X15" i="3"/>
  <c r="N9" i="3"/>
  <c r="G59" i="3"/>
  <c r="W44" i="3"/>
  <c r="R25" i="3"/>
  <c r="K12" i="3"/>
  <c r="Y39" i="3"/>
  <c r="I15" i="3"/>
  <c r="W8" i="3"/>
  <c r="AA34" i="3"/>
  <c r="K2" i="3"/>
  <c r="I39" i="3"/>
  <c r="R64" i="3"/>
  <c r="X24" i="3"/>
  <c r="M43" i="3"/>
  <c r="K21" i="3"/>
  <c r="G48" i="3"/>
  <c r="I24" i="3"/>
  <c r="M53" i="3"/>
  <c r="P4" i="3"/>
  <c r="G24" i="3"/>
  <c r="E58" i="3"/>
  <c r="M32" i="3"/>
  <c r="W46" i="3"/>
  <c r="W3" i="3"/>
  <c r="J65" i="3"/>
  <c r="M28" i="3"/>
  <c r="K28" i="3"/>
  <c r="M62" i="3"/>
  <c r="G42" i="3"/>
  <c r="O4" i="3"/>
  <c r="M47" i="3"/>
  <c r="U13" i="3"/>
  <c r="O23" i="3"/>
  <c r="U10" i="3"/>
  <c r="L67" i="3"/>
  <c r="E56" i="3"/>
  <c r="J19" i="3"/>
  <c r="K30" i="3"/>
  <c r="W15" i="3"/>
  <c r="M2" i="3"/>
  <c r="U29" i="3"/>
  <c r="S18" i="3"/>
  <c r="Y5" i="3"/>
  <c r="W54" i="3"/>
  <c r="AA21" i="3"/>
  <c r="H15" i="3"/>
  <c r="K5" i="3"/>
  <c r="Y24" i="3"/>
  <c r="Y21" i="3"/>
  <c r="I5" i="3"/>
  <c r="U48" i="3"/>
  <c r="Z17" i="3"/>
  <c r="O62" i="3"/>
  <c r="N14" i="3"/>
  <c r="H24" i="3"/>
  <c r="W61" i="3"/>
  <c r="S20" i="3"/>
  <c r="M7" i="3"/>
  <c r="G52" i="3"/>
  <c r="J67" i="3"/>
  <c r="G50" i="3"/>
  <c r="S35" i="3"/>
  <c r="Z5" i="3"/>
  <c r="Z65" i="3"/>
  <c r="Z21" i="3"/>
  <c r="J5" i="3"/>
  <c r="O43" i="3"/>
  <c r="Q11" i="3"/>
  <c r="Q38" i="3"/>
  <c r="U33" i="3"/>
  <c r="P11" i="3"/>
  <c r="W42" i="3"/>
  <c r="O11" i="3"/>
  <c r="E33" i="3"/>
  <c r="W37" i="3"/>
  <c r="U37" i="3"/>
  <c r="R20" i="3"/>
  <c r="O41" i="3"/>
  <c r="R66" i="3"/>
  <c r="E59" i="3"/>
  <c r="M55" i="3"/>
  <c r="E50" i="3"/>
  <c r="U44" i="3"/>
  <c r="Q25" i="3"/>
  <c r="J12" i="3"/>
  <c r="L2" i="3"/>
  <c r="O49" i="3"/>
  <c r="E44" i="3"/>
  <c r="Q18" i="3"/>
  <c r="K34" i="3"/>
  <c r="AA17" i="3"/>
  <c r="E54" i="3"/>
  <c r="W24" i="3"/>
  <c r="S33" i="3"/>
  <c r="Q4" i="3"/>
  <c r="K17" i="3"/>
  <c r="N7" i="3"/>
  <c r="V10" i="3"/>
  <c r="O57" i="3"/>
  <c r="K39" i="3"/>
  <c r="I12" i="3"/>
  <c r="U54" i="3"/>
  <c r="E29" i="3"/>
  <c r="U8" i="3"/>
  <c r="W48" i="3"/>
  <c r="AA28" i="3"/>
  <c r="E8" i="3"/>
  <c r="E48" i="3"/>
  <c r="O7" i="3"/>
  <c r="AA32" i="3"/>
  <c r="U61" i="3"/>
  <c r="E27" i="3"/>
  <c r="K32" i="3"/>
  <c r="T13" i="3"/>
  <c r="G8" i="3"/>
  <c r="O53" i="3"/>
  <c r="J21" i="3"/>
  <c r="U27" i="3"/>
  <c r="W52" i="3"/>
  <c r="J17" i="3"/>
  <c r="U52" i="3"/>
  <c r="I17" i="3"/>
  <c r="AA26" i="3"/>
  <c r="S27" i="3"/>
  <c r="G61" i="3"/>
  <c r="I21" i="3"/>
  <c r="S16" i="3"/>
  <c r="Q20" i="3"/>
  <c r="F68" i="3" l="1"/>
  <c r="F27" i="3"/>
  <c r="F29" i="3"/>
  <c r="F31" i="3"/>
  <c r="F33" i="3"/>
  <c r="F35" i="3"/>
  <c r="F73" i="3"/>
  <c r="F20" i="3"/>
  <c r="F74" i="3"/>
  <c r="F64" i="3"/>
  <c r="F18" i="3"/>
  <c r="F69" i="3"/>
  <c r="F9" i="3"/>
  <c r="F43" i="3"/>
  <c r="F45" i="3"/>
  <c r="F47" i="3"/>
  <c r="F49" i="3"/>
  <c r="F51" i="3"/>
  <c r="F53" i="3"/>
  <c r="F55" i="3"/>
  <c r="F57" i="3"/>
  <c r="F60" i="3"/>
  <c r="F62" i="3"/>
  <c r="F75" i="3"/>
  <c r="F70" i="3"/>
  <c r="F28" i="3"/>
  <c r="F30" i="3"/>
  <c r="F32" i="3"/>
  <c r="F34" i="3"/>
  <c r="F36" i="3"/>
  <c r="F65" i="3"/>
  <c r="F67" i="3"/>
  <c r="F76" i="3"/>
  <c r="F66" i="3"/>
  <c r="F17" i="3"/>
  <c r="F19" i="3"/>
  <c r="F21" i="3"/>
  <c r="F71" i="3"/>
  <c r="F77" i="3"/>
  <c r="F72" i="3"/>
  <c r="F8" i="3"/>
  <c r="F10" i="3"/>
  <c r="F42" i="3"/>
  <c r="F44" i="3"/>
  <c r="F46" i="3"/>
  <c r="F48" i="3"/>
  <c r="F50" i="3"/>
  <c r="F52" i="3"/>
  <c r="F54" i="3"/>
  <c r="F56" i="3"/>
  <c r="F58" i="3"/>
  <c r="F59" i="3"/>
  <c r="F61" i="3"/>
  <c r="F63" i="3"/>
  <c r="R58" i="3"/>
  <c r="Z58" i="3" s="1"/>
  <c r="S58" i="3"/>
  <c r="T58" i="3"/>
  <c r="U58" i="3" l="1"/>
</calcChain>
</file>

<file path=xl/sharedStrings.xml><?xml version="1.0" encoding="utf-8"?>
<sst xmlns="http://schemas.openxmlformats.org/spreadsheetml/2006/main" count="328" uniqueCount="113">
  <si>
    <t>NAMA PERTUBUHAN PELADANG</t>
  </si>
  <si>
    <t>PROGRAM</t>
  </si>
  <si>
    <t>SISTEM REBAN</t>
  </si>
  <si>
    <t>TAHUN PERUNTUKKAN</t>
  </si>
  <si>
    <t>NILAI PERUNTUKKAN (RM)</t>
  </si>
  <si>
    <t>PPK KIJAL</t>
  </si>
  <si>
    <t>SISTEM TERBUKA</t>
  </si>
  <si>
    <t>SISTEM TERTUTUP</t>
  </si>
  <si>
    <t>PPK DUNGUN</t>
  </si>
  <si>
    <t>PPK BUKIT DIMAN</t>
  </si>
  <si>
    <t>PPK JERANGAU</t>
  </si>
  <si>
    <t>PPK KUALA TERENGGANU</t>
  </si>
  <si>
    <t>JUMLAH BESAR PERUNTUKKAN PROJEK</t>
  </si>
  <si>
    <t>DAERAH</t>
  </si>
  <si>
    <t>PENGURUS BESAR</t>
  </si>
  <si>
    <t>KAPASITI PROJEK / PUSINGAN (EKOR)</t>
  </si>
  <si>
    <t>SASARAN TAHUN 2021 (RM)</t>
  </si>
  <si>
    <t>SASARAN TAHUN 2022 (RM)</t>
  </si>
  <si>
    <t>SASARAN TAHUN 2023 (RM)</t>
  </si>
  <si>
    <t>SASARAN TAHUN 2024 (RM)</t>
  </si>
  <si>
    <t>SASARAN TAHUN 2025 (RM)</t>
  </si>
  <si>
    <t>SASARAN TAHUN 2026 (RM)</t>
  </si>
  <si>
    <t>LOKASI</t>
  </si>
  <si>
    <t>KEMAMAN</t>
  </si>
  <si>
    <t>ZAKRY BIN ISMAIL</t>
  </si>
  <si>
    <t>KG. PENGKALAN RANGGON</t>
  </si>
  <si>
    <t>KG. BUKIT ANAK DARA</t>
  </si>
  <si>
    <t>DUNGUN</t>
  </si>
  <si>
    <t>NIK HAIRUL ZAMANI BIN DAUD</t>
  </si>
  <si>
    <t>KG. BESOL</t>
  </si>
  <si>
    <t>KG. TEPUS</t>
  </si>
  <si>
    <t>HULU TERENGGANU</t>
  </si>
  <si>
    <t>SYAIRAZI</t>
  </si>
  <si>
    <t>KG. PELADAN</t>
  </si>
  <si>
    <t>KG. BATU BERTINDAN</t>
  </si>
  <si>
    <t>AMRAN BIN RIPIN</t>
  </si>
  <si>
    <t>KG. PADANG PING</t>
  </si>
  <si>
    <t>KUALA TERENGGANU</t>
  </si>
  <si>
    <t>NORIZIAH BINTI RAHMAT</t>
  </si>
  <si>
    <t>KG. TELAGA PAPAN</t>
  </si>
  <si>
    <t>TAHUN PROJEK</t>
  </si>
  <si>
    <t>PUSINGAN</t>
  </si>
  <si>
    <t>PENDAPATAN</t>
  </si>
  <si>
    <t>KOS PENGELUARAN</t>
  </si>
  <si>
    <t>UNTUNG / RUGI PROJEK</t>
  </si>
  <si>
    <t>NAMA SYARIKAT PEMBEKAL</t>
  </si>
  <si>
    <t>INPUT (DOC) EKOR</t>
  </si>
  <si>
    <t>HARGA DOC / EKOR (RM)</t>
  </si>
  <si>
    <t>BILANGAN KEMATIAN (EKOR)</t>
  </si>
  <si>
    <t>KADAR KEMATIAN %</t>
  </si>
  <si>
    <t>KADAR HIDUP %</t>
  </si>
  <si>
    <t>PURATA HARI - UMUR AYAM TERJUAL</t>
  </si>
  <si>
    <t>JUMLAH BAG MAKANAN</t>
  </si>
  <si>
    <t>FOOD CONVERSION RATE (FCR)</t>
  </si>
  <si>
    <t>OUTPUT ( EKOR)- JUMLAH AYAM TERJUAL</t>
  </si>
  <si>
    <t>OUTPUT (KG) - JUMLAH BERAT (KG)</t>
  </si>
  <si>
    <t>PURATA BERAT / EKOR</t>
  </si>
  <si>
    <t>PENDAPATAN BERSIH / EKOR</t>
  </si>
  <si>
    <t>KOS PENGELUARAN / EKOR</t>
  </si>
  <si>
    <t>MARGIN UNTUNG / RUGI / EKOR</t>
  </si>
  <si>
    <t>PENDAPATAN BERSIH / KG</t>
  </si>
  <si>
    <t>KOS PENGELUARAN / KG</t>
  </si>
  <si>
    <t>MARGIN UNTUNG / RUGI / KG</t>
  </si>
  <si>
    <t>MARGIN / EKOR (RM)</t>
  </si>
  <si>
    <t>BROILER PERFORMANCE INDEX (BPI)</t>
  </si>
  <si>
    <t>KESIMPULAN PRESTASI PROJEK</t>
  </si>
  <si>
    <t>P 1/2021</t>
  </si>
  <si>
    <t>P 2/2021</t>
  </si>
  <si>
    <t>P 3/2021</t>
  </si>
  <si>
    <t>P 4/2021</t>
  </si>
  <si>
    <t>P 5/2021</t>
  </si>
  <si>
    <t>P 6/2021</t>
  </si>
  <si>
    <t>P 1/2022</t>
  </si>
  <si>
    <t>P 2/2022</t>
  </si>
  <si>
    <t>P 3/2022</t>
  </si>
  <si>
    <t>P 4/2022</t>
  </si>
  <si>
    <t>P 5/2022</t>
  </si>
  <si>
    <t>P 6/2022</t>
  </si>
  <si>
    <t>P 1/2023</t>
  </si>
  <si>
    <t>P 2/2023</t>
  </si>
  <si>
    <t>P 3/2023</t>
  </si>
  <si>
    <t>P 4/2023</t>
  </si>
  <si>
    <t>P 5/2023</t>
  </si>
  <si>
    <t>P 6/2023</t>
  </si>
  <si>
    <t>P 1/2024</t>
  </si>
  <si>
    <t>P 2/2024</t>
  </si>
  <si>
    <t>P 3/2024</t>
  </si>
  <si>
    <t>P 4/2024</t>
  </si>
  <si>
    <t>P 5/2024</t>
  </si>
  <si>
    <t>P 6/2024</t>
  </si>
  <si>
    <t>P 1/2025</t>
  </si>
  <si>
    <t>P 2/2025</t>
  </si>
  <si>
    <t>P 3/2025</t>
  </si>
  <si>
    <t>P 4/2025</t>
  </si>
  <si>
    <t>P 5/2025</t>
  </si>
  <si>
    <t>Goldform Corporation Sdn Bhd</t>
  </si>
  <si>
    <t>VERY BAD</t>
  </si>
  <si>
    <t>Chop Cheong Bee Sdn Bhd</t>
  </si>
  <si>
    <t>VERY GOOD</t>
  </si>
  <si>
    <t>P 1/2026</t>
  </si>
  <si>
    <t>AK MUHIBBAH SDN BHD</t>
  </si>
  <si>
    <t>P 2/2026</t>
  </si>
  <si>
    <t>P 3/2026</t>
  </si>
  <si>
    <t>GT POULTRY SDN BHD</t>
  </si>
  <si>
    <t>JUST AVERAGE</t>
  </si>
  <si>
    <t>CONTOH =IMPORTRANGE("1oH3BnpK1_BjF64MdslOV3BHbj96oDkgryR4pjqVaaMk", "LAPORAN BULANAN!D70:E70")</t>
  </si>
  <si>
    <t>https://docs.google.com/spreadsheets/d/1o4Ac6NI0SfLibsumFt9f9lHwJFVrF2ykccRsQvuxGAI/edit?usp=drive_link</t>
  </si>
  <si>
    <t>https://docs.google.com/spreadsheets/d/1OP-qxVLNURBqstk-WZQd8qB2vYxDQLc8s35zWl_CMzo/edit?usp=drive_link</t>
  </si>
  <si>
    <t>https://docs.google.com/spreadsheets/d/1Y1LY7dyNGLp0NieLSn-6awoDagvXjF5SwgLKBcwcayI/edit?usp=drive_link</t>
  </si>
  <si>
    <t>1o4Ac6NI0SfLibsumFt9f9lHwJFVrF2ykccRsQvuxGAI</t>
  </si>
  <si>
    <t>1OP-qxVLNURBqstk-WZQd8qB2vYxDQLc8s35zWl_CMzo</t>
  </si>
  <si>
    <t>1Y1LY7dyNGLp0NieLSn-6awoDagvXjF5SwgLKBcwcayI</t>
  </si>
  <si>
    <t>PENDAPATAN / EKOR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</si>
</sst>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sz val="11"/>
      <color theme="1"/>
      <name val="Arial"/>
      <scheme val="minor"/>
    </font>
    <font>
      <sz val="11"/>
      <color theme="1"/>
      <name val="Arial"/>
    </font>
    <font>
      <b/>
      <sz val="11"/>
      <color theme="1"/>
      <name val="Arial"/>
      <scheme val="minor"/>
    </font>
    <font>
      <sz val="11"/>
      <color rgb="FF0C0C0C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CFE2F3"/>
        <bgColor rgb="FFCF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3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/>
    <xf numFmtId="0" fontId="2" fillId="0" borderId="0" xfId="0" applyFont="1" applyAlignment="1"/>
    <xf numFmtId="4" fontId="2" fillId="0" borderId="0" xfId="0" applyNumberFormat="1" applyFont="1" applyAlignment="1"/>
    <xf numFmtId="4" fontId="2" fillId="0" borderId="0" xfId="0" applyNumberFormat="1" applyFont="1"/>
    <xf numFmtId="0" fontId="4" fillId="0" borderId="0" xfId="0" applyFont="1" applyAlignment="1"/>
    <xf numFmtId="0" fontId="4" fillId="0" borderId="0" xfId="0" applyFont="1"/>
    <xf numFmtId="4" fontId="4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/>
    <xf numFmtId="3" fontId="2" fillId="0" borderId="0" xfId="0" applyNumberFormat="1" applyFont="1" applyAlignme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right"/>
    </xf>
    <xf numFmtId="0" fontId="2" fillId="2" borderId="0" xfId="0" applyFont="1" applyFill="1" applyAlignment="1"/>
    <xf numFmtId="0" fontId="3" fillId="2" borderId="0" xfId="0" applyFont="1" applyFill="1" applyAlignment="1">
      <alignment horizontal="right"/>
    </xf>
    <xf numFmtId="4" fontId="2" fillId="2" borderId="0" xfId="0" applyNumberFormat="1" applyFont="1" applyFill="1" applyAlignment="1"/>
    <xf numFmtId="0" fontId="2" fillId="2" borderId="0" xfId="0" applyFont="1" applyFill="1" applyAlignment="1"/>
    <xf numFmtId="3" fontId="2" fillId="2" borderId="0" xfId="0" applyNumberFormat="1" applyFont="1" applyFill="1" applyAlignment="1"/>
    <xf numFmtId="2" fontId="2" fillId="2" borderId="0" xfId="0" applyNumberFormat="1" applyFont="1" applyFill="1" applyAlignment="1"/>
    <xf numFmtId="10" fontId="2" fillId="2" borderId="0" xfId="0" applyNumberFormat="1" applyFont="1" applyFill="1" applyAlignment="1"/>
    <xf numFmtId="1" fontId="2" fillId="2" borderId="0" xfId="0" applyNumberFormat="1" applyFont="1" applyFill="1" applyAlignment="1"/>
    <xf numFmtId="4" fontId="2" fillId="2" borderId="0" xfId="0" applyNumberFormat="1" applyFont="1" applyFill="1"/>
    <xf numFmtId="3" fontId="2" fillId="2" borderId="0" xfId="0" applyNumberFormat="1" applyFont="1" applyFill="1"/>
    <xf numFmtId="2" fontId="2" fillId="2" borderId="0" xfId="0" applyNumberFormat="1" applyFont="1" applyFill="1"/>
    <xf numFmtId="0" fontId="3" fillId="3" borderId="0" xfId="0" applyFont="1" applyFill="1" applyAlignment="1">
      <alignment horizontal="right"/>
    </xf>
    <xf numFmtId="0" fontId="2" fillId="3" borderId="0" xfId="0" applyFont="1" applyFill="1" applyAlignment="1"/>
    <xf numFmtId="0" fontId="3" fillId="3" borderId="0" xfId="0" applyFont="1" applyFill="1" applyAlignment="1">
      <alignment horizontal="right"/>
    </xf>
    <xf numFmtId="4" fontId="2" fillId="3" borderId="0" xfId="0" applyNumberFormat="1" applyFont="1" applyFill="1" applyAlignment="1"/>
    <xf numFmtId="0" fontId="2" fillId="3" borderId="0" xfId="0" applyFont="1" applyFill="1" applyAlignment="1"/>
    <xf numFmtId="3" fontId="2" fillId="3" borderId="0" xfId="0" applyNumberFormat="1" applyFont="1" applyFill="1" applyAlignment="1"/>
    <xf numFmtId="2" fontId="2" fillId="3" borderId="0" xfId="0" applyNumberFormat="1" applyFont="1" applyFill="1" applyAlignment="1"/>
    <xf numFmtId="10" fontId="2" fillId="3" borderId="0" xfId="0" applyNumberFormat="1" applyFont="1" applyFill="1" applyAlignment="1"/>
    <xf numFmtId="1" fontId="2" fillId="3" borderId="0" xfId="0" applyNumberFormat="1" applyFont="1" applyFill="1" applyAlignment="1"/>
    <xf numFmtId="4" fontId="2" fillId="3" borderId="0" xfId="0" applyNumberFormat="1" applyFont="1" applyFill="1"/>
    <xf numFmtId="3" fontId="2" fillId="3" borderId="0" xfId="0" applyNumberFormat="1" applyFont="1" applyFill="1"/>
    <xf numFmtId="2" fontId="2" fillId="3" borderId="0" xfId="0" applyNumberFormat="1" applyFont="1" applyFill="1"/>
    <xf numFmtId="0" fontId="3" fillId="4" borderId="0" xfId="0" applyFont="1" applyFill="1" applyAlignment="1">
      <alignment horizontal="right"/>
    </xf>
    <xf numFmtId="0" fontId="2" fillId="4" borderId="0" xfId="0" applyFont="1" applyFill="1" applyAlignment="1"/>
    <xf numFmtId="0" fontId="3" fillId="4" borderId="0" xfId="0" applyFont="1" applyFill="1" applyAlignment="1">
      <alignment horizontal="right"/>
    </xf>
    <xf numFmtId="4" fontId="2" fillId="4" borderId="0" xfId="0" applyNumberFormat="1" applyFont="1" applyFill="1" applyAlignment="1"/>
    <xf numFmtId="0" fontId="2" fillId="4" borderId="0" xfId="0" applyFont="1" applyFill="1" applyAlignment="1"/>
    <xf numFmtId="3" fontId="2" fillId="4" borderId="0" xfId="0" applyNumberFormat="1" applyFont="1" applyFill="1" applyAlignment="1"/>
    <xf numFmtId="2" fontId="2" fillId="4" borderId="0" xfId="0" applyNumberFormat="1" applyFont="1" applyFill="1" applyAlignment="1"/>
    <xf numFmtId="10" fontId="2" fillId="4" borderId="0" xfId="0" applyNumberFormat="1" applyFont="1" applyFill="1" applyAlignment="1"/>
    <xf numFmtId="1" fontId="2" fillId="4" borderId="0" xfId="0" applyNumberFormat="1" applyFont="1" applyFill="1" applyAlignment="1"/>
    <xf numFmtId="4" fontId="2" fillId="4" borderId="0" xfId="0" applyNumberFormat="1" applyFont="1" applyFill="1"/>
    <xf numFmtId="3" fontId="2" fillId="4" borderId="0" xfId="0" applyNumberFormat="1" applyFont="1" applyFill="1"/>
    <xf numFmtId="2" fontId="2" fillId="4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164" fontId="2" fillId="4" borderId="0" xfId="0" applyNumberFormat="1" applyFont="1" applyFill="1" applyAlignment="1"/>
    <xf numFmtId="0" fontId="3" fillId="5" borderId="0" xfId="0" applyFont="1" applyFill="1" applyAlignment="1">
      <alignment horizontal="right"/>
    </xf>
    <xf numFmtId="0" fontId="2" fillId="5" borderId="0" xfId="0" applyFont="1" applyFill="1" applyAlignment="1"/>
    <xf numFmtId="0" fontId="3" fillId="5" borderId="0" xfId="0" applyFont="1" applyFill="1" applyAlignment="1">
      <alignment horizontal="right"/>
    </xf>
    <xf numFmtId="4" fontId="2" fillId="5" borderId="0" xfId="0" applyNumberFormat="1" applyFont="1" applyFill="1" applyAlignment="1"/>
    <xf numFmtId="0" fontId="2" fillId="5" borderId="0" xfId="0" applyFont="1" applyFill="1" applyAlignment="1"/>
    <xf numFmtId="3" fontId="2" fillId="5" borderId="0" xfId="0" applyNumberFormat="1" applyFont="1" applyFill="1" applyAlignment="1"/>
    <xf numFmtId="2" fontId="2" fillId="5" borderId="0" xfId="0" applyNumberFormat="1" applyFont="1" applyFill="1" applyAlignment="1"/>
    <xf numFmtId="10" fontId="2" fillId="5" borderId="0" xfId="0" applyNumberFormat="1" applyFont="1" applyFill="1" applyAlignment="1"/>
    <xf numFmtId="1" fontId="2" fillId="5" borderId="0" xfId="0" applyNumberFormat="1" applyFont="1" applyFill="1" applyAlignment="1"/>
    <xf numFmtId="4" fontId="2" fillId="5" borderId="0" xfId="0" applyNumberFormat="1" applyFont="1" applyFill="1"/>
    <xf numFmtId="3" fontId="2" fillId="5" borderId="0" xfId="0" applyNumberFormat="1" applyFont="1" applyFill="1"/>
    <xf numFmtId="2" fontId="2" fillId="5" borderId="0" xfId="0" applyNumberFormat="1" applyFont="1" applyFill="1"/>
    <xf numFmtId="0" fontId="2" fillId="5" borderId="0" xfId="0" applyFont="1" applyFill="1" applyAlignment="1">
      <alignment horizontal="left" vertical="center" wrapText="1"/>
    </xf>
    <xf numFmtId="3" fontId="2" fillId="5" borderId="0" xfId="0" applyNumberFormat="1" applyFont="1" applyFill="1" applyAlignment="1">
      <alignment horizontal="right" vertical="center" wrapText="1"/>
    </xf>
    <xf numFmtId="0" fontId="2" fillId="5" borderId="0" xfId="0" applyFont="1" applyFill="1"/>
    <xf numFmtId="164" fontId="2" fillId="5" borderId="0" xfId="0" applyNumberFormat="1" applyFont="1" applyFill="1" applyAlignment="1"/>
    <xf numFmtId="164" fontId="2" fillId="5" borderId="0" xfId="0" applyNumberFormat="1" applyFont="1" applyFill="1"/>
    <xf numFmtId="0" fontId="3" fillId="6" borderId="0" xfId="0" applyFont="1" applyFill="1" applyAlignment="1">
      <alignment horizontal="right"/>
    </xf>
    <xf numFmtId="0" fontId="2" fillId="6" borderId="0" xfId="0" applyFont="1" applyFill="1" applyAlignment="1"/>
    <xf numFmtId="0" fontId="3" fillId="6" borderId="0" xfId="0" applyFont="1" applyFill="1" applyAlignment="1">
      <alignment horizontal="right"/>
    </xf>
    <xf numFmtId="4" fontId="2" fillId="6" borderId="0" xfId="0" applyNumberFormat="1" applyFont="1" applyFill="1" applyAlignment="1">
      <alignment horizontal="right"/>
    </xf>
    <xf numFmtId="4" fontId="2" fillId="6" borderId="0" xfId="0" applyNumberFormat="1" applyFont="1" applyFill="1" applyAlignment="1"/>
    <xf numFmtId="0" fontId="2" fillId="6" borderId="0" xfId="0" applyFont="1" applyFill="1" applyAlignment="1">
      <alignment horizontal="left" vertical="center" wrapText="1"/>
    </xf>
    <xf numFmtId="3" fontId="2" fillId="6" borderId="0" xfId="0" applyNumberFormat="1" applyFont="1" applyFill="1" applyAlignment="1"/>
    <xf numFmtId="2" fontId="2" fillId="6" borderId="0" xfId="0" applyNumberFormat="1" applyFont="1" applyFill="1" applyAlignment="1"/>
    <xf numFmtId="10" fontId="2" fillId="6" borderId="0" xfId="0" applyNumberFormat="1" applyFont="1" applyFill="1" applyAlignment="1"/>
    <xf numFmtId="1" fontId="2" fillId="6" borderId="0" xfId="0" applyNumberFormat="1" applyFont="1" applyFill="1" applyAlignment="1"/>
    <xf numFmtId="3" fontId="2" fillId="6" borderId="0" xfId="0" applyNumberFormat="1" applyFont="1" applyFill="1" applyAlignment="1">
      <alignment horizontal="right" vertical="center" wrapText="1"/>
    </xf>
    <xf numFmtId="4" fontId="2" fillId="6" borderId="0" xfId="0" applyNumberFormat="1" applyFont="1" applyFill="1"/>
    <xf numFmtId="3" fontId="2" fillId="6" borderId="0" xfId="0" applyNumberFormat="1" applyFont="1" applyFill="1"/>
    <xf numFmtId="0" fontId="2" fillId="6" borderId="0" xfId="0" applyFont="1" applyFill="1"/>
    <xf numFmtId="3" fontId="2" fillId="6" borderId="0" xfId="0" applyNumberFormat="1" applyFont="1" applyFill="1" applyAlignment="1">
      <alignment horizontal="right"/>
    </xf>
    <xf numFmtId="10" fontId="2" fillId="6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2" fontId="2" fillId="6" borderId="0" xfId="0" applyNumberFormat="1" applyFont="1" applyFill="1" applyAlignment="1">
      <alignment horizontal="right"/>
    </xf>
    <xf numFmtId="4" fontId="5" fillId="6" borderId="0" xfId="0" applyNumberFormat="1" applyFont="1" applyFill="1" applyAlignment="1">
      <alignment horizontal="right"/>
    </xf>
    <xf numFmtId="3" fontId="5" fillId="6" borderId="0" xfId="0" applyNumberFormat="1" applyFont="1" applyFill="1" applyAlignment="1">
      <alignment horizontal="right"/>
    </xf>
    <xf numFmtId="0" fontId="2" fillId="6" borderId="0" xfId="0" applyFont="1" applyFill="1" applyAlignment="1"/>
    <xf numFmtId="164" fontId="2" fillId="6" borderId="0" xfId="0" applyNumberFormat="1" applyFont="1" applyFill="1" applyAlignment="1"/>
    <xf numFmtId="164" fontId="2" fillId="6" borderId="0" xfId="0" applyNumberFormat="1" applyFont="1" applyFill="1"/>
    <xf numFmtId="10" fontId="2" fillId="6" borderId="0" xfId="0" applyNumberFormat="1" applyFont="1" applyFill="1"/>
    <xf numFmtId="1" fontId="2" fillId="6" borderId="0" xfId="0" applyNumberFormat="1" applyFont="1" applyFill="1"/>
    <xf numFmtId="2" fontId="2" fillId="6" borderId="0" xfId="0" applyNumberFormat="1" applyFont="1" applyFill="1"/>
    <xf numFmtId="165" fontId="2" fillId="6" borderId="0" xfId="0" applyNumberFormat="1" applyFont="1" applyFill="1"/>
    <xf numFmtId="0" fontId="2" fillId="7" borderId="0" xfId="0" applyFont="1" applyFill="1" applyAlignment="1"/>
    <xf numFmtId="0" fontId="2" fillId="7" borderId="0" xfId="0" applyFont="1" applyFill="1" applyAlignment="1"/>
    <xf numFmtId="0" fontId="3" fillId="7" borderId="0" xfId="0" applyFont="1" applyFill="1" applyAlignment="1">
      <alignment horizontal="right"/>
    </xf>
    <xf numFmtId="164" fontId="2" fillId="7" borderId="0" xfId="0" applyNumberFormat="1" applyFont="1" applyFill="1"/>
    <xf numFmtId="4" fontId="2" fillId="7" borderId="0" xfId="0" applyNumberFormat="1" applyFont="1" applyFill="1" applyAlignment="1"/>
    <xf numFmtId="3" fontId="2" fillId="7" borderId="0" xfId="0" applyNumberFormat="1" applyFont="1" applyFill="1" applyAlignment="1"/>
    <xf numFmtId="10" fontId="2" fillId="7" borderId="0" xfId="0" applyNumberFormat="1" applyFont="1" applyFill="1" applyAlignment="1"/>
    <xf numFmtId="0" fontId="2" fillId="7" borderId="0" xfId="0" applyFont="1" applyFill="1"/>
    <xf numFmtId="0" fontId="3" fillId="0" borderId="0" xfId="0" applyFont="1" applyAlignment="1">
      <alignment horizontal="right"/>
    </xf>
    <xf numFmtId="0" fontId="2" fillId="0" borderId="0" xfId="0" applyFont="1" applyAlignment="1"/>
    <xf numFmtId="2" fontId="2" fillId="0" borderId="0" xfId="0" applyNumberFormat="1" applyFont="1" applyAlignment="1"/>
    <xf numFmtId="10" fontId="2" fillId="0" borderId="0" xfId="0" applyNumberFormat="1" applyFont="1" applyAlignment="1"/>
    <xf numFmtId="1" fontId="2" fillId="0" borderId="0" xfId="0" applyNumberFormat="1" applyFont="1" applyAlignment="1"/>
    <xf numFmtId="0" fontId="3" fillId="0" borderId="0" xfId="0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3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4" fontId="5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0" fontId="2" fillId="0" borderId="0" xfId="0" applyNumberFormat="1" applyFont="1"/>
    <xf numFmtId="1" fontId="2" fillId="0" borderId="0" xfId="0" applyNumberFormat="1" applyFont="1"/>
    <xf numFmtId="3" fontId="6" fillId="0" borderId="0" xfId="0" applyNumberFormat="1" applyFont="1" applyAlignment="1"/>
    <xf numFmtId="0" fontId="6" fillId="0" borderId="0" xfId="0" applyFont="1" applyAlignment="1"/>
    <xf numFmtId="10" fontId="6" fillId="0" borderId="0" xfId="0" applyNumberFormat="1" applyFont="1" applyAlignment="1"/>
    <xf numFmtId="4" fontId="6" fillId="0" borderId="0" xfId="0" applyNumberFormat="1" applyFont="1" applyAlignment="1"/>
    <xf numFmtId="0" fontId="6" fillId="0" borderId="0" xfId="0" applyFont="1" applyAlignment="1"/>
    <xf numFmtId="3" fontId="6" fillId="0" borderId="0" xfId="0" applyNumberFormat="1" applyFont="1" applyAlignment="1"/>
    <xf numFmtId="4" fontId="7" fillId="0" borderId="0" xfId="0" applyNumberFormat="1" applyFont="1" applyAlignment="1"/>
    <xf numFmtId="4" fontId="6" fillId="0" borderId="0" xfId="0" applyNumberFormat="1" applyFont="1" applyAlignment="1"/>
    <xf numFmtId="3" fontId="8" fillId="0" borderId="0" xfId="0" applyNumberFormat="1" applyFont="1" applyAlignment="1"/>
    <xf numFmtId="0" fontId="9" fillId="0" borderId="0" xfId="0" applyFont="1" applyAlignment="1"/>
    <xf numFmtId="3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0" fontId="10" fillId="0" borderId="0" xfId="0" applyFont="1" applyAlignment="1"/>
    <xf numFmtId="0" fontId="10" fillId="0" borderId="0" xfId="0" applyFont="1" applyAlignment="1"/>
    <xf numFmtId="2" fontId="2" fillId="7" borderId="0" xfId="0" applyNumberFormat="1" applyFont="1" applyFill="1" applyAlignme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docs.google.com/spreadsheets/d/1Y1LY7dyNGLp0NieLSn-6awoDagvXjF5SwgLKBcwcayI/edit?usp=drive_link" TargetMode="External"/><Relationship Id="rId2" Type="http://schemas.openxmlformats.org/officeDocument/2006/relationships/hyperlink" Target="https://docs.google.com/spreadsheets/d/1OP-qxVLNURBqstk-WZQd8qB2vYxDQLc8s35zWl_CMzo/edit?usp=drive_link" TargetMode="External"/><Relationship Id="rId1" Type="http://schemas.openxmlformats.org/officeDocument/2006/relationships/hyperlink" Target="https://docs.google.com/spreadsheets/d/1o4Ac6NI0SfLibsumFt9f9lHwJFVrF2ykccRsQvuxGAI/edit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1"/>
  <sheetViews>
    <sheetView workbookViewId="0">
      <selection activeCell="I21" sqref="I21"/>
    </sheetView>
  </sheetViews>
  <sheetFormatPr defaultColWidth="12.5703125" defaultRowHeight="15.75" customHeight="1" x14ac:dyDescent="0.2"/>
  <cols>
    <col min="1" max="1" width="26.5703125" customWidth="1"/>
    <col min="2" max="2" width="23.28515625" hidden="1" customWidth="1"/>
    <col min="3" max="3" width="20" customWidth="1"/>
    <col min="4" max="4" width="26.140625" customWidth="1"/>
    <col min="5" max="5" width="22.7109375" customWidth="1"/>
  </cols>
  <sheetData>
    <row r="1" spans="1:27" ht="39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spans="1:27" x14ac:dyDescent="0.2">
      <c r="A2" s="4" t="s">
        <v>5</v>
      </c>
      <c r="B2" s="3"/>
      <c r="C2" s="5" t="s">
        <v>6</v>
      </c>
      <c r="D2" s="5">
        <v>2015</v>
      </c>
      <c r="E2" s="6">
        <v>220000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 spans="1:27" x14ac:dyDescent="0.2">
      <c r="A3" s="4" t="s">
        <v>5</v>
      </c>
      <c r="B3" s="3"/>
      <c r="C3" s="5" t="s">
        <v>6</v>
      </c>
      <c r="D3" s="5">
        <v>2016</v>
      </c>
      <c r="E3" s="6">
        <v>20000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7" x14ac:dyDescent="0.2">
      <c r="A4" s="4" t="s">
        <v>5</v>
      </c>
      <c r="B4" s="3"/>
      <c r="C4" s="5" t="s">
        <v>6</v>
      </c>
      <c r="D4" s="5">
        <v>2020</v>
      </c>
      <c r="E4" s="6">
        <v>200000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 spans="1:27" x14ac:dyDescent="0.2">
      <c r="A5" s="4" t="s">
        <v>5</v>
      </c>
      <c r="B5" s="3"/>
      <c r="C5" s="5" t="s">
        <v>7</v>
      </c>
      <c r="D5" s="5">
        <v>2025</v>
      </c>
      <c r="E5" s="6">
        <v>3275000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 x14ac:dyDescent="0.2">
      <c r="A6" s="4" t="s">
        <v>8</v>
      </c>
      <c r="B6" s="3"/>
      <c r="C6" s="5" t="s">
        <v>6</v>
      </c>
      <c r="D6" s="5">
        <v>2020</v>
      </c>
      <c r="E6" s="6">
        <v>200000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 x14ac:dyDescent="0.2">
      <c r="A7" s="4" t="s">
        <v>8</v>
      </c>
      <c r="B7" s="3"/>
      <c r="C7" s="5" t="s">
        <v>6</v>
      </c>
      <c r="D7" s="5">
        <v>2021</v>
      </c>
      <c r="E7" s="6">
        <v>300000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 x14ac:dyDescent="0.2">
      <c r="A8" s="4" t="s">
        <v>8</v>
      </c>
      <c r="B8" s="3"/>
      <c r="C8" s="5" t="s">
        <v>6</v>
      </c>
      <c r="D8" s="5">
        <v>2022</v>
      </c>
      <c r="E8" s="6">
        <v>450000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 x14ac:dyDescent="0.2">
      <c r="A9" s="4" t="s">
        <v>8</v>
      </c>
      <c r="B9" s="3"/>
      <c r="C9" s="5" t="s">
        <v>7</v>
      </c>
      <c r="D9" s="5">
        <v>2024</v>
      </c>
      <c r="E9" s="6">
        <v>3300000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 x14ac:dyDescent="0.2">
      <c r="A10" s="4" t="s">
        <v>8</v>
      </c>
      <c r="B10" s="3"/>
      <c r="C10" s="5" t="s">
        <v>7</v>
      </c>
      <c r="D10" s="5">
        <v>2024</v>
      </c>
      <c r="E10" s="6">
        <v>1226000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 x14ac:dyDescent="0.2">
      <c r="A11" s="4" t="s">
        <v>9</v>
      </c>
      <c r="B11" s="3"/>
      <c r="C11" s="5" t="s">
        <v>6</v>
      </c>
      <c r="D11" s="5">
        <v>2022</v>
      </c>
      <c r="E11" s="6">
        <v>450000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A12" s="4" t="s">
        <v>9</v>
      </c>
      <c r="B12" s="3"/>
      <c r="C12" s="5" t="s">
        <v>7</v>
      </c>
      <c r="D12" s="5">
        <v>2025</v>
      </c>
      <c r="E12" s="6">
        <v>1650000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x14ac:dyDescent="0.2">
      <c r="A13" s="5" t="s">
        <v>10</v>
      </c>
      <c r="B13" s="3"/>
      <c r="C13" s="5" t="s">
        <v>7</v>
      </c>
      <c r="D13" s="5">
        <v>2025</v>
      </c>
      <c r="E13" s="6">
        <v>1650000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x14ac:dyDescent="0.2">
      <c r="A14" s="5" t="s">
        <v>11</v>
      </c>
      <c r="B14" s="3"/>
      <c r="C14" s="5" t="s">
        <v>7</v>
      </c>
      <c r="D14" s="5">
        <v>2025</v>
      </c>
      <c r="E14" s="6">
        <v>1650000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x14ac:dyDescent="0.2">
      <c r="A15" s="3"/>
      <c r="B15" s="3"/>
      <c r="C15" s="3"/>
      <c r="D15" s="3"/>
      <c r="E15" s="7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ht="15.75" customHeight="1" x14ac:dyDescent="0.25">
      <c r="A16" s="3"/>
      <c r="B16" s="3"/>
      <c r="C16" s="8" t="s">
        <v>12</v>
      </c>
      <c r="D16" s="9"/>
      <c r="E16" s="10">
        <f>SUM(E2:E14)</f>
        <v>14591000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 x14ac:dyDescent="0.2">
      <c r="A17" s="3"/>
      <c r="B17" s="3"/>
      <c r="C17" s="3"/>
      <c r="D17" s="3"/>
      <c r="E17" s="7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x14ac:dyDescent="0.2">
      <c r="A18" s="3"/>
      <c r="B18" s="3"/>
      <c r="C18" s="3"/>
      <c r="D18" s="3"/>
      <c r="E18" s="7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 spans="1:27" x14ac:dyDescent="0.2">
      <c r="A19" s="3"/>
      <c r="B19" s="3"/>
      <c r="C19" s="3"/>
      <c r="D19" s="3"/>
      <c r="E19" s="7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1:27" x14ac:dyDescent="0.2">
      <c r="A20" s="3"/>
      <c r="B20" s="3"/>
      <c r="C20" s="3"/>
      <c r="D20" s="3"/>
      <c r="E20" s="7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 spans="1:27" x14ac:dyDescent="0.2">
      <c r="A21" s="3"/>
      <c r="B21" s="3"/>
      <c r="C21" s="3"/>
      <c r="D21" s="3"/>
      <c r="E21" s="7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spans="1:27" x14ac:dyDescent="0.2">
      <c r="A22" s="3"/>
      <c r="B22" s="3"/>
      <c r="C22" s="3"/>
      <c r="D22" s="3"/>
      <c r="E22" s="7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spans="1:27" x14ac:dyDescent="0.2">
      <c r="A23" s="3"/>
      <c r="B23" s="3"/>
      <c r="C23" s="3"/>
      <c r="D23" s="3"/>
      <c r="E23" s="7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spans="1:27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spans="1:27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spans="1:27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spans="1:27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spans="1:27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spans="1:27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spans="1:27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spans="1:27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spans="1:27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spans="1:27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spans="1:27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spans="1:27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spans="1:27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spans="1:27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spans="1:27" ht="14.25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spans="1:27" ht="14.25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1:27" ht="14.25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1:27" ht="14.25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spans="1:27" ht="14.25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7" ht="14.25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7" ht="14.25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7" ht="14.25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7" ht="14.25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7" ht="14.25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7" ht="14.25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1:27" ht="14.25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1:27" ht="14.25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1:27" ht="14.25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1:27" ht="14.25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1:27" ht="14.25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1:27" ht="14.25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1:27" ht="14.25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1:27" ht="14.25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1:27" ht="14.25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1:27" ht="14.25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1:27" ht="14.25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1:27" ht="14.25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1:27" ht="14.25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1:27" ht="14.25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1:27" ht="14.25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1:27" ht="14.2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1:27" ht="14.2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1:27" ht="14.2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1:27" ht="14.2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1:27" ht="14.2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1:27" ht="14.2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1:27" ht="14.2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1:27" ht="14.25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1:27" ht="14.25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1:27" ht="14.25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1:27" ht="14.25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1:27" ht="14.25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1:27" ht="14.25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1:27" ht="14.25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1:27" ht="14.2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25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25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25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2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25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25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25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25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25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25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2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2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2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2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2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2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2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2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2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2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2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2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2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2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2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2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2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2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2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2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2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2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2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2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2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2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4.2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4.2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4.2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4.2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4.2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4.2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4.2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4.2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.2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4.2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2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4.2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4.2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4.2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4.2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4.2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4.2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4.2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4.2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4.2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4.2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4.2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4.2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4.2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4.2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4.2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4.2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4.2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4.2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4.2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4.2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4.2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4.2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4.2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4.2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4.2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4.2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4.2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4.2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2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4.2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4.2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4.2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4.2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4.2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4.2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4.2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4.2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4.2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4.2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4.2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4.2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4.2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4.2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4.2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4.2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4.2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4.2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4.2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4.2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4.2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4.2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4.2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4.2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4.2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4.2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4.2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4.2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4.2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4.2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4.2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4.2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4.2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4.2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2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4.2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4.2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4.2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4.2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4.2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4.2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4.2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4.2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4.2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4.2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4.2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4.2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4.2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4.2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4.2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4.2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4.2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4.2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4.2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4.2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4.2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4.2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4.2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4.2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4.2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4.2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4.2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4.2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4.2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4.2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4.2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2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4.2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4.2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4.2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4.2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4.2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4.2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4.2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4.2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4.2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4.2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4.2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4.2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4.2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4.2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4.2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4.2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4.2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4.2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4.2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4.2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4.2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4.2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4.2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4.2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4.2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4.2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4.2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4.2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4.2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2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4.2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4.2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4.2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4.2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4.2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4.2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4.2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4.2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4.2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4.2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4.2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4.2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4.2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4.2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4.2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4.2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4.2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4.2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4.2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4.2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4.2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4.2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4.2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4.2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4.2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4.2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4.2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4.2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4.2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4.2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2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4.2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4.2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4.2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4.2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4.2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4.2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4.2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4.2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4.2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4.2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4.2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4.2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4.2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4.2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4.2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4.2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4.2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4.2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4.2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4.2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4.2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4.2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4.2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4.2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4.2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4.2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4.2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4.2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4.2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4.2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2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4.2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4.2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.2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.2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.2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4.2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4.2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4.2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4.2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4.2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4.2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4.2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4.2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4.2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4.2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4.2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4.2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4.2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4.2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4.2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4.2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4.2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4.2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4.2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4.2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4.2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4.2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4.2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4.2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4.2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2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4.2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4.2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4.2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4.2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4.2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4.2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4.2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4.2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4.2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4.2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4.2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4.2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4.2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4.2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4.2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4.2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4.2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4.2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4.2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4.2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4.2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4.2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4.2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4.2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4.2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4.2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4.2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4.2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4.2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4.2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4.2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2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4.2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4.2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4.2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4.2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4.2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4.2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4.2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4.2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4.2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4.2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4.2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4.2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4.2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4.2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4.2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4.2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4.2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4.2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4.2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4.2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4.2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4.2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4.2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4.2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4.2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4.2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4.2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4.2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4.2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4.2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4.2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4.2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4.2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4.2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4.2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4.2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4.2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4.2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4.2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4.2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4.2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4.2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4.2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4.2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4.2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4.2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4.2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4.2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4.2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4.2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4.2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4.2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4.2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4.2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4.2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4.2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4.2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4.2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4.2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4.2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4.2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.2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.2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.2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4.2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4.2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4.2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4.2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4.2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4.2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4.2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4.2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4.2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4.2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4.2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4.2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4.2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4.2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4.2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4.2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4.2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4.2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4.2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4.2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4.2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4.2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4.2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4.2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4.2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4.2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4.2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4.2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4.2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4.2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4.2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4.2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4.2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4.2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4.2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4.2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4.2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4.2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4.2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4.2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4.2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4.2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4.2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4.2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4.2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4.2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4.2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4.2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4.2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4.2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4.2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4.2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4.2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4.2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4.2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4.2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4.2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4.2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4.2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4.2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4.2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4.2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4.2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4.2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4.2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4.2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4.2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4.2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4.2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4.2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4.2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4.2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4.2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4.2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4.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4.2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4.2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4.2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4.2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4.2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4.2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4.2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4.2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4.2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4.2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4.2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4.2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4.2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4.2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4.2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4.2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4.2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4.2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4.2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4.2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4.2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4.2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4.2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4.2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4.2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4.2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4.2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4.2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4.2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4.2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4.2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4.2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4.2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4.2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4.2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4.2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4.2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4.2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4.2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4.2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4.2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4.2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4.2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4.2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4.2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4.2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4.2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4.2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4.2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4.2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4.2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4.2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4.2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4.2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4.2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4.2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4.2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4.2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4.2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4.2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4.2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4.2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4.2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4.2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4.2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4.2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4.2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4.2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4.2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4.2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4.2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4.2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4.2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4.2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4.2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4.2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4.2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4.2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.2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.2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.2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4.2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4.2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4.2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4.2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4.2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4.2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4.2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4.2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4.2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4.2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4.2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4.2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4.2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4.2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4.2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4.2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4.2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4.2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4.2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4.2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4.2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4.2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4.2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4.2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4.2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4.2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4.2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4.2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4.2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4.2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4.2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4.2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4.2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4.2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4.2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4.2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4.2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4.2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4.2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4.2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4.2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4.2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4.2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4.2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4.2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4.2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4.2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4.2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4.2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4.2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4.2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4.2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4.2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4.2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4.2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4.2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4.2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4.2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4.2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4.2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4.2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4.2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4.2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4.2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4.2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4.2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4.2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4.2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4.2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4.2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4.2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4.2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4.2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4.2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4.2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4.2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4.2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4.2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4.2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4.2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4.2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4.2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4.2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4.2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4.2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4.2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4.2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4.2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4.2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4.2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4.2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4.2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4.2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4.2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4.2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4.2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4.2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4.2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4.2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4.2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4.2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4.2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4.2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4.2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4.2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4.2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4.2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4.2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4.2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4.2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4.2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4.2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4.2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4.2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4.2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4.2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4.2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4.2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4.2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4.2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4.2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4.2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4.2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4.2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4.2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4.2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4.2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4.2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4.2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4.2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4.2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4.2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4.2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4.2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.2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.2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.2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4.2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4.2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4.2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4.2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4.2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4.2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4.2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4.2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4.2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4.2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4.2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4.2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4.2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4.2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4.2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4.2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4.2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4.2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4.2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4.2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4.2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4.2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4.2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4.2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4.2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4.2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4.2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4.2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4.2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4.2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4.2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4.2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4.2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4.2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4.2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4.2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4.2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4.2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4.2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4.2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4.2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4.2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4.2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4.2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4.2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4.2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4.2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4.2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4.2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4.2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4.2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4.2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4.2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4.2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4.2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4.2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4.2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4.2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4.2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4.2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4.2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4.2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4.2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4.2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4.2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4.2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4.2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4.2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4.2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4.2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4.2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4.2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4.2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4.2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4.2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4.2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4.2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4.2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4.2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4.2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4.2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4.2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4.2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4.2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4.2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4.2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4.2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4.2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4.2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4.2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4.2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4.2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4.2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4.2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4.2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4.2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4.2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4.2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4.2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4.2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4.2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4.2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4.2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4.2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4.2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4.2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4.2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4.2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4.2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4.2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4.2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4.2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4.2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4.2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4.2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4.2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4.2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4.2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4.2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4.2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4.2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4.2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4.2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4.2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4.2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4.2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4.2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4.2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4.2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4.2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4.2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4.2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4.2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4.2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4.2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4.2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4.2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4.2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4.2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4.2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4.2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4.2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4.2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4.2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4.2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4.2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4.2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4.2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4.2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4.2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4.2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4.2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4.2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.2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.2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.2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4.2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4.2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4.2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4.2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4.2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4.2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4.2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4.2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4.2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4.2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4.2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4.2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4.2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4.2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4.2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4.2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4.2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4.2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4.2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4.2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4.2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4.2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4.2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4.2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4.2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4.2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4.2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4.2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4.2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4.2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4.2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4.2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4.2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4.2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4.2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4.2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4.2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4.2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4.2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4.2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4.2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4.2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4.2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4.2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4.2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4.2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4.2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4.2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4.2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4.2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4.2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4.2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4.2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4.2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4.2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4.2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4.2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4.2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4.2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4.2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4.2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4.2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4.2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4.2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4.2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4.2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4.2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4.2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4.2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4.2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4.2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4.2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4.2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4.2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4.2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4.2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4.2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4.2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F988"/>
  <sheetViews>
    <sheetView workbookViewId="0"/>
  </sheetViews>
  <sheetFormatPr defaultColWidth="12.5703125" defaultRowHeight="15.75" customHeight="1" x14ac:dyDescent="0.2"/>
  <cols>
    <col min="1" max="1" width="26" customWidth="1"/>
    <col min="2" max="2" width="21.85546875" customWidth="1"/>
    <col min="3" max="3" width="27.7109375" customWidth="1"/>
    <col min="4" max="4" width="25.7109375" customWidth="1"/>
    <col min="5" max="5" width="16.42578125" customWidth="1"/>
    <col min="6" max="6" width="15.42578125" customWidth="1"/>
    <col min="7" max="10" width="15" customWidth="1"/>
    <col min="11" max="11" width="14.7109375" customWidth="1"/>
    <col min="12" max="12" width="26.28515625" customWidth="1"/>
  </cols>
  <sheetData>
    <row r="1" spans="1:32" ht="53.25" customHeight="1" x14ac:dyDescent="0.2">
      <c r="A1" s="1" t="s">
        <v>0</v>
      </c>
      <c r="B1" s="1" t="s">
        <v>13</v>
      </c>
      <c r="C1" s="1" t="s">
        <v>14</v>
      </c>
      <c r="D1" s="2" t="s">
        <v>2</v>
      </c>
      <c r="E1" s="2" t="s">
        <v>15</v>
      </c>
      <c r="F1" s="11" t="s">
        <v>16</v>
      </c>
      <c r="G1" s="11" t="s">
        <v>17</v>
      </c>
      <c r="H1" s="11" t="s">
        <v>18</v>
      </c>
      <c r="I1" s="11" t="s">
        <v>19</v>
      </c>
      <c r="J1" s="11" t="s">
        <v>20</v>
      </c>
      <c r="K1" s="11" t="s">
        <v>21</v>
      </c>
      <c r="L1" s="11" t="s">
        <v>22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</row>
    <row r="2" spans="1:32" x14ac:dyDescent="0.2">
      <c r="A2" s="4" t="s">
        <v>5</v>
      </c>
      <c r="B2" s="13" t="s">
        <v>23</v>
      </c>
      <c r="C2" s="13" t="s">
        <v>24</v>
      </c>
      <c r="D2" s="14" t="s">
        <v>6</v>
      </c>
      <c r="E2" s="14">
        <v>35000</v>
      </c>
      <c r="F2" s="6">
        <v>1400000</v>
      </c>
      <c r="G2" s="6">
        <v>2600000</v>
      </c>
      <c r="H2" s="6">
        <v>2000000</v>
      </c>
      <c r="I2" s="6">
        <v>2000000</v>
      </c>
      <c r="J2" s="6">
        <v>2000000</v>
      </c>
      <c r="K2" s="6">
        <v>970000</v>
      </c>
      <c r="L2" s="5" t="s">
        <v>25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spans="1:32" x14ac:dyDescent="0.2">
      <c r="A3" s="4" t="s">
        <v>5</v>
      </c>
      <c r="B3" s="13" t="s">
        <v>23</v>
      </c>
      <c r="C3" s="13" t="s">
        <v>24</v>
      </c>
      <c r="D3" s="14" t="s">
        <v>7</v>
      </c>
      <c r="E3" s="14">
        <v>60000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5" t="s">
        <v>26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spans="1:32" x14ac:dyDescent="0.2">
      <c r="A4" s="4" t="s">
        <v>8</v>
      </c>
      <c r="B4" s="13" t="s">
        <v>27</v>
      </c>
      <c r="C4" s="13" t="s">
        <v>28</v>
      </c>
      <c r="D4" s="14" t="s">
        <v>6</v>
      </c>
      <c r="E4" s="14">
        <v>45000</v>
      </c>
      <c r="F4" s="6">
        <v>400000</v>
      </c>
      <c r="G4" s="6">
        <v>1800000</v>
      </c>
      <c r="H4" s="6">
        <v>3000000</v>
      </c>
      <c r="I4" s="6">
        <v>3000000</v>
      </c>
      <c r="J4" s="6">
        <v>3200000</v>
      </c>
      <c r="K4" s="6">
        <v>3200000</v>
      </c>
      <c r="L4" s="5" t="s">
        <v>29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spans="1:32" x14ac:dyDescent="0.2">
      <c r="A5" s="4" t="s">
        <v>8</v>
      </c>
      <c r="B5" s="13" t="s">
        <v>27</v>
      </c>
      <c r="C5" s="13" t="s">
        <v>28</v>
      </c>
      <c r="D5" s="14" t="s">
        <v>7</v>
      </c>
      <c r="E5" s="14">
        <v>82500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5" t="s">
        <v>30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2" x14ac:dyDescent="0.2">
      <c r="A6" s="4" t="s">
        <v>9</v>
      </c>
      <c r="B6" s="13" t="s">
        <v>31</v>
      </c>
      <c r="C6" s="4" t="s">
        <v>32</v>
      </c>
      <c r="D6" s="14" t="s">
        <v>6</v>
      </c>
      <c r="E6" s="14">
        <v>15000</v>
      </c>
      <c r="F6" s="6">
        <v>0</v>
      </c>
      <c r="G6" s="6">
        <v>0</v>
      </c>
      <c r="H6" s="6">
        <v>800000</v>
      </c>
      <c r="I6" s="6">
        <v>800000</v>
      </c>
      <c r="J6" s="6">
        <v>950000</v>
      </c>
      <c r="K6" s="6">
        <v>950000</v>
      </c>
      <c r="L6" s="5" t="s">
        <v>33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2" x14ac:dyDescent="0.2">
      <c r="A7" s="4" t="s">
        <v>9</v>
      </c>
      <c r="B7" s="13" t="s">
        <v>31</v>
      </c>
      <c r="C7" s="4" t="s">
        <v>32</v>
      </c>
      <c r="D7" s="14" t="s">
        <v>7</v>
      </c>
      <c r="E7" s="14">
        <v>30000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5" t="s">
        <v>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2" x14ac:dyDescent="0.2">
      <c r="A8" s="5" t="s">
        <v>10</v>
      </c>
      <c r="B8" s="5" t="s">
        <v>27</v>
      </c>
      <c r="C8" s="5" t="s">
        <v>35</v>
      </c>
      <c r="D8" s="14" t="s">
        <v>7</v>
      </c>
      <c r="E8" s="14">
        <v>30000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5" t="s">
        <v>36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2" x14ac:dyDescent="0.2">
      <c r="A9" s="5" t="s">
        <v>11</v>
      </c>
      <c r="B9" s="5" t="s">
        <v>37</v>
      </c>
      <c r="C9" s="5" t="s">
        <v>38</v>
      </c>
      <c r="D9" s="14" t="s">
        <v>7</v>
      </c>
      <c r="E9" s="14">
        <v>30000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5" t="s">
        <v>39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2" x14ac:dyDescent="0.2">
      <c r="A10" s="3"/>
      <c r="B10" s="3"/>
      <c r="C10" s="3"/>
      <c r="D10" s="15"/>
      <c r="E10" s="1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2" x14ac:dyDescent="0.2">
      <c r="A11" s="3"/>
      <c r="B11" s="3"/>
      <c r="C11" s="3"/>
      <c r="D11" s="15"/>
      <c r="E11" s="15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A12" s="3"/>
      <c r="B12" s="3"/>
      <c r="C12" s="3"/>
      <c r="D12" s="15"/>
      <c r="E12" s="15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2" x14ac:dyDescent="0.2">
      <c r="A13" s="3"/>
      <c r="B13" s="3"/>
      <c r="C13" s="3"/>
      <c r="D13" s="15"/>
      <c r="E13" s="15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2" x14ac:dyDescent="0.2">
      <c r="A14" s="3"/>
      <c r="B14" s="3"/>
      <c r="C14" s="3"/>
      <c r="D14" s="15"/>
      <c r="E14" s="15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2" x14ac:dyDescent="0.2">
      <c r="A15" s="3"/>
      <c r="B15" s="3"/>
      <c r="C15" s="3"/>
      <c r="D15" s="15"/>
      <c r="E15" s="15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2" x14ac:dyDescent="0.2">
      <c r="A16" s="3"/>
      <c r="B16" s="3"/>
      <c r="C16" s="3"/>
      <c r="D16" s="15"/>
      <c r="E16" s="15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 x14ac:dyDescent="0.2">
      <c r="A17" s="3"/>
      <c r="B17" s="3"/>
      <c r="C17" s="3"/>
      <c r="D17" s="15"/>
      <c r="E17" s="15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x14ac:dyDescent="0.2">
      <c r="A18" s="3"/>
      <c r="B18" s="3"/>
      <c r="C18" s="3"/>
      <c r="D18" s="15"/>
      <c r="E18" s="15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spans="1:32" x14ac:dyDescent="0.2">
      <c r="A19" s="3"/>
      <c r="B19" s="3"/>
      <c r="C19" s="3"/>
      <c r="D19" s="15"/>
      <c r="E19" s="15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1:32" x14ac:dyDescent="0.2">
      <c r="A20" s="3"/>
      <c r="B20" s="3"/>
      <c r="C20" s="3"/>
      <c r="D20" s="15"/>
      <c r="E20" s="15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spans="1:32" x14ac:dyDescent="0.2">
      <c r="A21" s="3"/>
      <c r="B21" s="3"/>
      <c r="C21" s="3"/>
      <c r="D21" s="15"/>
      <c r="E21" s="15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spans="1:32" x14ac:dyDescent="0.2">
      <c r="A22" s="3"/>
      <c r="B22" s="3"/>
      <c r="C22" s="3"/>
      <c r="D22" s="15"/>
      <c r="E22" s="15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spans="1:32" x14ac:dyDescent="0.2">
      <c r="A23" s="3"/>
      <c r="B23" s="3"/>
      <c r="C23" s="3"/>
      <c r="D23" s="15"/>
      <c r="E23" s="15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spans="1:32" x14ac:dyDescent="0.2">
      <c r="A24" s="3"/>
      <c r="B24" s="3"/>
      <c r="C24" s="3"/>
      <c r="D24" s="15"/>
      <c r="E24" s="15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spans="1:32" x14ac:dyDescent="0.2">
      <c r="A25" s="3"/>
      <c r="B25" s="3"/>
      <c r="C25" s="3"/>
      <c r="D25" s="15"/>
      <c r="E25" s="15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spans="1:32" x14ac:dyDescent="0.2">
      <c r="A26" s="3"/>
      <c r="B26" s="3"/>
      <c r="C26" s="3"/>
      <c r="D26" s="15"/>
      <c r="E26" s="15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spans="1:32" x14ac:dyDescent="0.2">
      <c r="A27" s="3"/>
      <c r="B27" s="3"/>
      <c r="C27" s="3"/>
      <c r="D27" s="15"/>
      <c r="E27" s="15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spans="1:32" x14ac:dyDescent="0.2">
      <c r="A28" s="3"/>
      <c r="B28" s="3"/>
      <c r="C28" s="3"/>
      <c r="D28" s="15"/>
      <c r="E28" s="15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spans="1:32" x14ac:dyDescent="0.2">
      <c r="A29" s="3"/>
      <c r="B29" s="3"/>
      <c r="C29" s="3"/>
      <c r="D29" s="15"/>
      <c r="E29" s="15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spans="1:32" x14ac:dyDescent="0.2">
      <c r="A30" s="3"/>
      <c r="B30" s="3"/>
      <c r="C30" s="3"/>
      <c r="D30" s="15"/>
      <c r="E30" s="15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spans="1:32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spans="1:32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spans="1:32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spans="1:32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spans="1:32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spans="1:32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spans="1:32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spans="1:32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spans="1:32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1:32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1:32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spans="1:32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spans="1:32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spans="1:32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spans="1:32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spans="1:32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spans="1:32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spans="1:32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spans="1:32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spans="1:32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spans="1:32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spans="1:32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spans="1:32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spans="1:32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spans="1:32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1:32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1:32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spans="1:32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spans="1:32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spans="1:32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spans="1:32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spans="1:32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spans="1:32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spans="1:32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spans="1:32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spans="1:32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spans="1:32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1:32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spans="1:32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spans="1:32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spans="1:32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spans="1:32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spans="1:32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spans="1:32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spans="1:32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spans="1:32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spans="1:32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spans="1:32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spans="1:32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spans="1:32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spans="1:32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spans="1:32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1:32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spans="1:32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spans="1:32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spans="1:32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spans="1:32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spans="1:32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spans="1:32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spans="1:32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1:32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spans="1:32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spans="1:32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spans="1:32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spans="1:32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1:32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spans="1:32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spans="1:32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spans="1:32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spans="1:32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spans="1:32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spans="1:32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spans="1:32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spans="1:32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spans="1:32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spans="1:32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spans="1:32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spans="1:32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spans="1:32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spans="1:32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spans="1:32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spans="1:32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spans="1:32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spans="1:32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spans="1:32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spans="1:32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spans="1:32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spans="1:32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spans="1:32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spans="1:32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spans="1:32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spans="1:32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spans="1:32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spans="1:32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spans="1:32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spans="1:32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spans="1:32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spans="1:32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spans="1:32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spans="1:32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spans="1:32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spans="1:32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spans="1:32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spans="1:32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spans="1:32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spans="1:32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spans="1:32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spans="1:32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spans="1:32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spans="1:32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spans="1:32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spans="1:32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spans="1:32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spans="1:32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spans="1:32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spans="1:32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spans="1:32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spans="1:32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spans="1:32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spans="1:32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spans="1:32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spans="1:32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spans="1:32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spans="1:32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spans="1:32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spans="1:32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spans="1:32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spans="1:32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spans="1:32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spans="1:32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spans="1:32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spans="1:32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spans="1:32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spans="1:32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spans="1:32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spans="1:32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spans="1:32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spans="1:32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spans="1:32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spans="1:32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spans="1:32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spans="1:32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spans="1:32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spans="1:32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spans="1:32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spans="1:32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spans="1:32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spans="1:32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spans="1:32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spans="1:32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spans="1:32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spans="1:32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spans="1:32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spans="1:32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spans="1:32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spans="1:32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spans="1:32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spans="1:32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spans="1:32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spans="1:32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spans="1:32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spans="1:32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spans="1:32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spans="1:32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spans="1:32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spans="1:32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spans="1:32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spans="1:32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spans="1:32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spans="1:32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spans="1:32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spans="1:32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spans="1:32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spans="1:32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spans="1:32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spans="1:32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spans="1:32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spans="1:32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spans="1:32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spans="1:32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spans="1:32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spans="1:32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spans="1:32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spans="1:32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spans="1:32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spans="1:32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spans="1:32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spans="1:32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spans="1:32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spans="1:32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spans="1:32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spans="1:32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spans="1:32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spans="1:32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spans="1:32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spans="1:32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spans="1:32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spans="1:32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spans="1:32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spans="1:32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spans="1:32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spans="1:32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spans="1:32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spans="1:32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spans="1:32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spans="1:32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spans="1:32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spans="1:32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spans="1:32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spans="1:32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spans="1:32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spans="1:32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spans="1:32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spans="1:32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spans="1:32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spans="1:32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spans="1:32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spans="1:32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spans="1:32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spans="1:32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spans="1:32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spans="1:32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spans="1:32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spans="1:32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spans="1:32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spans="1:32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spans="1:32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spans="1:32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spans="1:32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spans="1:32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spans="1:32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spans="1:32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spans="1:32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spans="1:32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spans="1:32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spans="1:32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spans="1:32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spans="1:32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spans="1:32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spans="1:32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spans="1:32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spans="1:32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spans="1:32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spans="1:32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spans="1:32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spans="1:32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spans="1:32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spans="1:32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spans="1:32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spans="1:32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spans="1:32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spans="1:32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spans="1:32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spans="1:32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spans="1:32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spans="1:32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spans="1:32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spans="1:32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spans="1:32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spans="1:32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spans="1:32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spans="1:32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spans="1:32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spans="1:32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spans="1:32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spans="1:32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spans="1:32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spans="1:32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spans="1:32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spans="1:32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spans="1:32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spans="1:32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spans="1:32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spans="1:32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spans="1:32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spans="1:32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spans="1:32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spans="1:32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spans="1:32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spans="1:32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spans="1:32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spans="1:32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spans="1:32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spans="1:32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spans="1:32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spans="1:32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spans="1:32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spans="1:32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spans="1:32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spans="1:32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spans="1:32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spans="1:32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spans="1:32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spans="1:32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spans="1:32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spans="1:32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spans="1:32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spans="1:32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spans="1:32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spans="1:32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spans="1:32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spans="1:32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spans="1:32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spans="1:32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spans="1:32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spans="1:32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spans="1:32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spans="1:32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spans="1:32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spans="1:32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spans="1:32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spans="1:32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spans="1:32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spans="1:32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spans="1:32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spans="1:32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spans="1:32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spans="1:32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spans="1:32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spans="1:32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spans="1:32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spans="1:32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spans="1:32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spans="1:32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spans="1:32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spans="1:32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spans="1:32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spans="1:32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spans="1:32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spans="1:32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spans="1:32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spans="1:32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spans="1:32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spans="1:32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spans="1:32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spans="1:32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spans="1:32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spans="1:32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spans="1:32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spans="1:32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spans="1:32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spans="1:32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spans="1:32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spans="1:32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spans="1:32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spans="1:32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spans="1:32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spans="1:32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spans="1:32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spans="1:32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spans="1:32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spans="1:32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spans="1:32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spans="1:32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spans="1:32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spans="1:32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spans="1:32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spans="1:32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spans="1:32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spans="1:32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spans="1:32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spans="1:32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spans="1:32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spans="1:32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spans="1:32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spans="1:32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spans="1:32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spans="1:32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spans="1:32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spans="1:32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spans="1:32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spans="1:32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spans="1:32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spans="1:32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spans="1:32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spans="1:32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spans="1:32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spans="1:32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spans="1:32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spans="1:32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spans="1:32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spans="1:32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spans="1:32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spans="1:32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spans="1:32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spans="1:32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spans="1:32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spans="1:32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spans="1:32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spans="1:32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spans="1:32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spans="1:32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spans="1:32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spans="1:32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spans="1:32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spans="1:32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spans="1:32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spans="1:32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spans="1:32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spans="1:32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spans="1:32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spans="1:32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spans="1:32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spans="1:32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spans="1:32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spans="1:32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spans="1:32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spans="1:32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spans="1:32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spans="1:32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spans="1:32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spans="1:32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spans="1:32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spans="1:32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spans="1:32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spans="1:32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spans="1:32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spans="1:32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spans="1:32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spans="1:32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spans="1:32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spans="1:32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spans="1:32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spans="1:32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spans="1:32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spans="1:32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spans="1:32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spans="1:32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spans="1:32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spans="1:32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spans="1:32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spans="1:32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spans="1:32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spans="1:32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spans="1:32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spans="1:32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spans="1:32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spans="1:32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spans="1:32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spans="1:32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spans="1:32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spans="1:32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spans="1:32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spans="1:32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spans="1:32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spans="1:32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spans="1:32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spans="1:32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spans="1:32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spans="1:32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spans="1:32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spans="1:32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spans="1:32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spans="1:32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spans="1:32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spans="1:32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spans="1:32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spans="1:32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spans="1:32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spans="1:32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spans="1:32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spans="1:32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spans="1:32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spans="1:32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spans="1:32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spans="1:32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spans="1:32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spans="1:32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spans="1:32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spans="1:32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spans="1:32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spans="1:32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spans="1:32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spans="1:32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spans="1:32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spans="1:32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spans="1:32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spans="1:32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spans="1:32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spans="1:32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spans="1:32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spans="1:32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spans="1:32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spans="1:32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spans="1:32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spans="1:32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spans="1:32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spans="1:32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spans="1:32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spans="1:32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spans="1:32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spans="1:32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spans="1:32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spans="1:32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spans="1:32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spans="1:32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spans="1:32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spans="1:32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spans="1:32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spans="1:32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spans="1:32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spans="1:32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spans="1:32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spans="1:32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spans="1:32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spans="1:32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spans="1:32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spans="1:32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spans="1:32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spans="1:32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spans="1:32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spans="1:32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spans="1:32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spans="1:32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spans="1:32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spans="1:32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spans="1:32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spans="1:32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spans="1:32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spans="1:32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spans="1:32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spans="1:32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spans="1:32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spans="1:32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spans="1:32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spans="1:32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spans="1:32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spans="1:32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spans="1:32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spans="1:32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spans="1:32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spans="1:32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spans="1:32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spans="1:32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spans="1:32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spans="1:32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spans="1:32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spans="1:32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spans="1:32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spans="1:32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spans="1:32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spans="1:32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spans="1:32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spans="1:32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spans="1:32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spans="1:32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spans="1:32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spans="1:32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spans="1:32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spans="1:32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spans="1:32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spans="1:32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spans="1:32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spans="1:32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spans="1:32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spans="1:32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spans="1:32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spans="1:32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spans="1:32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spans="1:32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spans="1:32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spans="1:32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spans="1:32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spans="1:32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spans="1:32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spans="1:32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spans="1:32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spans="1:32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spans="1:32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spans="1:32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spans="1:32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spans="1:32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spans="1:32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spans="1:32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spans="1:32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spans="1:32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spans="1:32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spans="1:32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spans="1:32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spans="1:32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spans="1:32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spans="1:32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spans="1:32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spans="1:32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spans="1:32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spans="1:32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spans="1:32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spans="1:32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spans="1:32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spans="1:32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spans="1:32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spans="1:32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spans="1:32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spans="1:32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spans="1:32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spans="1:32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spans="1:32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spans="1:32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spans="1:32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spans="1:32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spans="1:32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spans="1:32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spans="1:32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spans="1:32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spans="1:32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spans="1:32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spans="1:32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spans="1:32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spans="1:32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spans="1:32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spans="1:32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spans="1:32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spans="1:32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spans="1:32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spans="1:32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spans="1:32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spans="1:32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spans="1:32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spans="1:32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spans="1:32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spans="1:32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spans="1:32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spans="1:32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spans="1:32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spans="1:32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spans="1:32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spans="1:32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spans="1:32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spans="1:32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spans="1:32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spans="1:32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spans="1:32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spans="1:32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spans="1:32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spans="1:32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spans="1:32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spans="1:32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spans="1:32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spans="1:32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spans="1:32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spans="1:32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spans="1:32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spans="1:32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spans="1:32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spans="1:32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spans="1:32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spans="1:32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spans="1:32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spans="1:32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spans="1:32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spans="1:32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spans="1:32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spans="1:32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spans="1:32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spans="1:32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spans="1:32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spans="1:32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spans="1:32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spans="1:32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spans="1:32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spans="1:32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spans="1:32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spans="1:32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spans="1:32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spans="1:32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spans="1:32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spans="1:32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spans="1:32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spans="1:32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spans="1:32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spans="1:32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spans="1:32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spans="1:32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spans="1:32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spans="1:32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spans="1:32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spans="1:32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spans="1:32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spans="1:32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spans="1:32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spans="1:32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spans="1:32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spans="1:32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spans="1:32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spans="1:32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spans="1:32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spans="1:32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spans="1:32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spans="1:32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spans="1:32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spans="1:32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spans="1:32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spans="1:32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spans="1:32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spans="1:32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spans="1:32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spans="1:32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spans="1:32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spans="1:32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spans="1:32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spans="1:32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spans="1:32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spans="1:32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spans="1:32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spans="1:32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spans="1:32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spans="1:32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spans="1:32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spans="1:32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spans="1:32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spans="1:32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spans="1:32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spans="1:32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spans="1:32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spans="1:32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spans="1:32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spans="1:32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spans="1:32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spans="1:32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spans="1:32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spans="1:32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spans="1:32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spans="1:32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spans="1:32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spans="1:32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spans="1:32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spans="1:32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spans="1:32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spans="1:32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spans="1:32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spans="1:32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spans="1:32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spans="1:32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spans="1:32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spans="1:32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spans="1:32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spans="1:32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spans="1:32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spans="1:32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spans="1:32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spans="1:32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spans="1:32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spans="1:32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spans="1:32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spans="1:32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spans="1:32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spans="1:32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spans="1:32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spans="1:32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spans="1:32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spans="1:32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spans="1:32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spans="1:32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spans="1:32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spans="1:32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spans="1:32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spans="1:32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spans="1:32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spans="1:32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spans="1:32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spans="1:32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spans="1:32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spans="1:32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spans="1:32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spans="1:32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spans="1:32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spans="1:32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spans="1:32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spans="1:32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spans="1:32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spans="1:32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spans="1:32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spans="1:32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spans="1:32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spans="1:32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spans="1:32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spans="1:32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spans="1:32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spans="1:32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spans="1:32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spans="1:32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spans="1:32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spans="1:32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spans="1:32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spans="1:32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spans="1:32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spans="1:32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spans="1:32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spans="1:32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spans="1:32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spans="1:32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spans="1:32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spans="1:32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spans="1:32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spans="1:32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spans="1:32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spans="1:32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spans="1:32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spans="1:32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spans="1:32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spans="1:32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spans="1:32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spans="1:32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spans="1:32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spans="1:32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spans="1:32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spans="1:32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spans="1:32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spans="1:32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spans="1:32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spans="1:32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spans="1:32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spans="1:32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spans="1:32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spans="1:32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spans="1:32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spans="1:32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spans="1:32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spans="1:32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spans="1:32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spans="1:32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spans="1:32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spans="1:32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spans="1:32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spans="1:32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spans="1:32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spans="1:32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spans="1:32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spans="1:32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spans="1:32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spans="1:32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spans="1:32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spans="1:32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spans="1:32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spans="1:32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spans="1:32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spans="1:32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spans="1:32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spans="1:32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spans="1:32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spans="1:32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spans="1:32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spans="1:32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spans="1:32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spans="1:32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spans="1:32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spans="1:32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spans="1:32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spans="1:32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spans="1:32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spans="1:32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spans="1:32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spans="1:32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spans="1:32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spans="1:32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spans="1:32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spans="1:32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spans="1:32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spans="1:32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spans="1:32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spans="1:32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spans="1:32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spans="1:32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spans="1:32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spans="1:32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spans="1:32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spans="1:32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spans="1:32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spans="1:32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spans="1:32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spans="1:32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spans="1:32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spans="1:32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spans="1:32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spans="1:32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spans="1:32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spans="1:32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spans="1:32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spans="1:32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spans="1:32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spans="1:32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spans="1:32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spans="1:32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spans="1:32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spans="1:32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spans="1:32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spans="1:32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spans="1:32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spans="1:32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spans="1:32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spans="1:32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spans="1:32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spans="1:32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spans="1:32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spans="1:32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spans="1:32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spans="1:32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spans="1:32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spans="1:32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spans="1:32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spans="1:32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spans="1:32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spans="1:32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spans="1:32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spans="1:32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spans="1:32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spans="1:32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spans="1:32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spans="1:32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spans="1:32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spans="1:32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spans="1:32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spans="1:32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spans="1:32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spans="1:32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spans="1:32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spans="1:32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spans="1:32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spans="1:32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spans="1:32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spans="1:32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spans="1:32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spans="1:32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spans="1:32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spans="1:32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spans="1:32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spans="1:32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spans="1:32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spans="1:32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spans="1:32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spans="1:32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spans="1:32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spans="1:32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spans="1:32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spans="1:32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spans="1:32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spans="1:32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spans="1:32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spans="1:32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spans="1:32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spans="1:32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spans="1:32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spans="1:32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spans="1:32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spans="1:32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spans="1:32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spans="1:32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spans="1:32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spans="1:32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spans="1:32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spans="1:32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spans="1:32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spans="1:32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spans="1:32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spans="1:32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spans="1:32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spans="1:32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spans="1:32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A1040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I60" sqref="I60"/>
    </sheetView>
  </sheetViews>
  <sheetFormatPr defaultColWidth="12.5703125" defaultRowHeight="15.75" customHeight="1" x14ac:dyDescent="0.2"/>
  <cols>
    <col min="1" max="1" width="10.85546875" customWidth="1"/>
    <col min="2" max="2" width="19.7109375" customWidth="1"/>
    <col min="4" max="4" width="16" customWidth="1"/>
    <col min="5" max="5" width="18.28515625" customWidth="1"/>
    <col min="6" max="6" width="13.7109375" customWidth="1"/>
    <col min="7" max="7" width="31.85546875" customWidth="1"/>
    <col min="9" max="9" width="13.7109375" customWidth="1"/>
    <col min="10" max="10" width="17.42578125" hidden="1" customWidth="1"/>
    <col min="12" max="13" width="0" hidden="1" customWidth="1"/>
    <col min="14" max="14" width="12.85546875" hidden="1" customWidth="1"/>
    <col min="15" max="15" width="15.42578125" customWidth="1"/>
    <col min="16" max="16" width="19.7109375" hidden="1" customWidth="1"/>
    <col min="17" max="17" width="14.85546875" hidden="1" customWidth="1"/>
    <col min="18" max="18" width="10.42578125" customWidth="1"/>
    <col min="19" max="19" width="16.42578125" customWidth="1"/>
    <col min="20" max="20" width="15.28515625" customWidth="1"/>
    <col min="21" max="21" width="13.42578125" customWidth="1"/>
    <col min="22" max="22" width="15.5703125" hidden="1" customWidth="1"/>
    <col min="23" max="25" width="0" hidden="1" customWidth="1"/>
    <col min="27" max="27" width="17.42578125" customWidth="1"/>
  </cols>
  <sheetData>
    <row r="1" spans="1:27" ht="75" x14ac:dyDescent="0.2">
      <c r="A1" s="11" t="s">
        <v>40</v>
      </c>
      <c r="B1" s="16" t="s">
        <v>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O1" s="11" t="s">
        <v>53</v>
      </c>
      <c r="P1" s="11" t="s">
        <v>54</v>
      </c>
      <c r="Q1" s="11" t="s">
        <v>55</v>
      </c>
      <c r="R1" s="11" t="s">
        <v>56</v>
      </c>
      <c r="S1" s="11" t="s">
        <v>112</v>
      </c>
      <c r="T1" s="11" t="s">
        <v>58</v>
      </c>
      <c r="U1" s="11" t="s">
        <v>59</v>
      </c>
      <c r="V1" s="11" t="s">
        <v>60</v>
      </c>
      <c r="W1" s="11" t="s">
        <v>61</v>
      </c>
      <c r="X1" s="11" t="s">
        <v>62</v>
      </c>
      <c r="Y1" s="11" t="s">
        <v>63</v>
      </c>
      <c r="Z1" s="11" t="s">
        <v>64</v>
      </c>
      <c r="AA1" s="11" t="s">
        <v>65</v>
      </c>
    </row>
    <row r="2" spans="1:27" ht="14.25" x14ac:dyDescent="0.2">
      <c r="A2" s="17">
        <v>2021</v>
      </c>
      <c r="B2" s="18" t="s">
        <v>5</v>
      </c>
      <c r="C2" s="19" t="s">
        <v>66</v>
      </c>
      <c r="D2" s="20">
        <v>195276.25</v>
      </c>
      <c r="E2" s="20">
        <v>185222.73</v>
      </c>
      <c r="F2" s="20">
        <f t="shared" ref="F2:F77" si="0">D2-E2</f>
        <v>10053.51999999999</v>
      </c>
      <c r="G2" s="21" t="str">
        <f ca="1">IFERROR(__xludf.DUMMYFUNCTION("TRANSPOSE(IMPORTRANGE(""1o4Ac6NI0SfLibsumFt9f9lHwJFVrF2ykccRsQvuxGAI"", ""2021!C49:H69""))"),"Kee Sung Agriculture (M) Sdn Bhd")</f>
        <v>Kee Sung Agriculture (M) Sdn Bhd</v>
      </c>
      <c r="H2" s="22">
        <f ca="1">IFERROR(__xludf.DUMMYFUNCTION("""COMPUTED_VALUE"""),20200)</f>
        <v>20200</v>
      </c>
      <c r="I2" s="23">
        <f ca="1">IFERROR(__xludf.DUMMYFUNCTION("""COMPUTED_VALUE"""),2.03)</f>
        <v>2.0299999999999998</v>
      </c>
      <c r="J2" s="22">
        <f ca="1">IFERROR(__xludf.DUMMYFUNCTION("""COMPUTED_VALUE"""),1208)</f>
        <v>1208</v>
      </c>
      <c r="K2" s="24">
        <f ca="1">IFERROR(__xludf.DUMMYFUNCTION("""COMPUTED_VALUE"""),0.0598019801980198)</f>
        <v>5.98019801980198E-2</v>
      </c>
      <c r="L2" s="24">
        <f ca="1">IFERROR(__xludf.DUMMYFUNCTION("""COMPUTED_VALUE"""),0.94019801980198)</f>
        <v>0.94019801980198003</v>
      </c>
      <c r="M2" s="25">
        <f ca="1">IFERROR(__xludf.DUMMYFUNCTION("""COMPUTED_VALUE"""),35)</f>
        <v>35</v>
      </c>
      <c r="N2" s="22">
        <f ca="1">IFERROR(__xludf.DUMMYFUNCTION("""COMPUTED_VALUE"""),1400.34509999999)</f>
        <v>1400.34509999999</v>
      </c>
      <c r="O2" s="21">
        <f ca="1">IFERROR(__xludf.DUMMYFUNCTION("""COMPUTED_VALUE"""),1.65)</f>
        <v>1.65</v>
      </c>
      <c r="P2" s="22">
        <f ca="1">IFERROR(__xludf.DUMMYFUNCTION("""COMPUTED_VALUE"""),18992)</f>
        <v>18992</v>
      </c>
      <c r="Q2" s="20">
        <f ca="1">IFERROR(__xludf.DUMMYFUNCTION("""COMPUTED_VALUE"""),42434.7)</f>
        <v>42434.7</v>
      </c>
      <c r="R2" s="20">
        <f ca="1">IFERROR(__xludf.DUMMYFUNCTION("""COMPUTED_VALUE"""),2.23434604043807)</f>
        <v>2.2343460404380702</v>
      </c>
      <c r="S2" s="20">
        <f ca="1">IFERROR(__xludf.DUMMYFUNCTION("""COMPUTED_VALUE"""),10.2820266427969)</f>
        <v>10.2820266427969</v>
      </c>
      <c r="T2" s="20">
        <f ca="1">IFERROR(__xludf.DUMMYFUNCTION("""COMPUTED_VALUE"""),9.75267112468407)</f>
        <v>9.7526711246840705</v>
      </c>
      <c r="U2" s="20">
        <f ca="1">IFERROR(__xludf.DUMMYFUNCTION("""COMPUTED_VALUE"""),0.529355518112891)</f>
        <v>0.52935551811289105</v>
      </c>
      <c r="V2" s="26">
        <f ca="1">IFERROR(__xludf.DUMMYFUNCTION("""COMPUTED_VALUE"""),4.60180583343348)</f>
        <v>4.6018058334334802</v>
      </c>
      <c r="W2" s="26">
        <f ca="1">IFERROR(__xludf.DUMMYFUNCTION("""COMPUTED_VALUE"""),4.36488840500816)</f>
        <v>4.36488840500816</v>
      </c>
      <c r="X2" s="26">
        <f ca="1">IFERROR(__xludf.DUMMYFUNCTION("""COMPUTED_VALUE"""),0.236917428425321)</f>
        <v>0.23691742842532099</v>
      </c>
      <c r="Y2" s="26">
        <f ca="1">IFERROR(__xludf.DUMMYFUNCTION("""COMPUTED_VALUE"""),0.52935551811289)</f>
        <v>0.52935551811288994</v>
      </c>
      <c r="Z2" s="27">
        <f ca="1">IFERROR(__xludf.DUMMYFUNCTION("""COMPUTED_VALUE"""),363.762376237623)</f>
        <v>363.76237623762302</v>
      </c>
      <c r="AA2" s="28" t="str">
        <f ca="1">IFERROR(__xludf.DUMMYFUNCTION("""COMPUTED_VALUE"""),"VERY BAD")</f>
        <v>VERY BAD</v>
      </c>
    </row>
    <row r="3" spans="1:27" ht="14.25" x14ac:dyDescent="0.2">
      <c r="A3" s="17">
        <v>2021</v>
      </c>
      <c r="B3" s="18" t="s">
        <v>5</v>
      </c>
      <c r="C3" s="19" t="s">
        <v>67</v>
      </c>
      <c r="D3" s="20">
        <v>195429.65</v>
      </c>
      <c r="E3" s="20">
        <v>181115.54</v>
      </c>
      <c r="F3" s="20">
        <f t="shared" si="0"/>
        <v>14314.109999999986</v>
      </c>
      <c r="G3" s="21" t="str">
        <f ca="1">IFERROR(__xludf.DUMMYFUNCTION("""COMPUTED_VALUE"""),"Kee Sung Agriculture (M) Sdn Bhd")</f>
        <v>Kee Sung Agriculture (M) Sdn Bhd</v>
      </c>
      <c r="H3" s="22">
        <f ca="1">IFERROR(__xludf.DUMMYFUNCTION("""COMPUTED_VALUE"""),20200)</f>
        <v>20200</v>
      </c>
      <c r="I3" s="23">
        <f ca="1">IFERROR(__xludf.DUMMYFUNCTION("""COMPUTED_VALUE"""),2.03)</f>
        <v>2.0299999999999998</v>
      </c>
      <c r="J3" s="22">
        <f ca="1">IFERROR(__xludf.DUMMYFUNCTION("""COMPUTED_VALUE"""),1073)</f>
        <v>1073</v>
      </c>
      <c r="K3" s="24">
        <f ca="1">IFERROR(__xludf.DUMMYFUNCTION("""COMPUTED_VALUE"""),0.0531188118811881)</f>
        <v>5.3118811881188097E-2</v>
      </c>
      <c r="L3" s="24">
        <f ca="1">IFERROR(__xludf.DUMMYFUNCTION("""COMPUTED_VALUE"""),0.946881188118811)</f>
        <v>0.94688118811881095</v>
      </c>
      <c r="M3" s="25">
        <f ca="1">IFERROR(__xludf.DUMMYFUNCTION("""COMPUTED_VALUE"""),35)</f>
        <v>35</v>
      </c>
      <c r="N3" s="22">
        <f ca="1">IFERROR(__xludf.DUMMYFUNCTION("""COMPUTED_VALUE"""),1399.8531)</f>
        <v>1399.8531</v>
      </c>
      <c r="O3" s="21">
        <f ca="1">IFERROR(__xludf.DUMMYFUNCTION("""COMPUTED_VALUE"""),1.66)</f>
        <v>1.66</v>
      </c>
      <c r="P3" s="22">
        <f ca="1">IFERROR(__xludf.DUMMYFUNCTION("""COMPUTED_VALUE"""),19127)</f>
        <v>19127</v>
      </c>
      <c r="Q3" s="20">
        <f ca="1">IFERROR(__xludf.DUMMYFUNCTION("""COMPUTED_VALUE"""),42164.25)</f>
        <v>42164.25</v>
      </c>
      <c r="R3" s="20">
        <f ca="1">IFERROR(__xludf.DUMMYFUNCTION("""COMPUTED_VALUE"""),2.20443613739739)</f>
        <v>2.2044361373973902</v>
      </c>
      <c r="S3" s="20">
        <f ca="1">IFERROR(__xludf.DUMMYFUNCTION("""COMPUTED_VALUE"""),10.2174752967009)</f>
        <v>10.217475296700901</v>
      </c>
      <c r="T3" s="26">
        <f ca="1">IFERROR(__xludf.DUMMYFUNCTION("""COMPUTED_VALUE"""),9.46910336173994)</f>
        <v>9.4691033617399398</v>
      </c>
      <c r="U3" s="26">
        <f ca="1">IFERROR(__xludf.DUMMYFUNCTION("""COMPUTED_VALUE"""),0.748371934961049)</f>
        <v>0.74837193496104903</v>
      </c>
      <c r="V3" s="26">
        <f ca="1">IFERROR(__xludf.DUMMYFUNCTION("""COMPUTED_VALUE"""),4.6349608969684)</f>
        <v>4.6349608969684004</v>
      </c>
      <c r="W3" s="26">
        <f ca="1">IFERROR(__xludf.DUMMYFUNCTION("""COMPUTED_VALUE"""),4.29547638105741)</f>
        <v>4.2954763810574104</v>
      </c>
      <c r="X3" s="26">
        <f ca="1">IFERROR(__xludf.DUMMYFUNCTION("""COMPUTED_VALUE"""),0.33948451591099)</f>
        <v>0.33948451591098999</v>
      </c>
      <c r="Y3" s="26">
        <f ca="1">IFERROR(__xludf.DUMMYFUNCTION("""COMPUTED_VALUE"""),0.748371934961049)</f>
        <v>0.74837193496104903</v>
      </c>
      <c r="Z3" s="27">
        <f ca="1">IFERROR(__xludf.DUMMYFUNCTION("""COMPUTED_VALUE"""),314.358299534772)</f>
        <v>314.35829953477202</v>
      </c>
      <c r="AA3" s="28" t="str">
        <f ca="1">IFERROR(__xludf.DUMMYFUNCTION("""COMPUTED_VALUE"""),"JUST AVERAGE")</f>
        <v>JUST AVERAGE</v>
      </c>
    </row>
    <row r="4" spans="1:27" ht="14.25" x14ac:dyDescent="0.2">
      <c r="A4" s="17">
        <v>2021</v>
      </c>
      <c r="B4" s="18" t="s">
        <v>5</v>
      </c>
      <c r="C4" s="19" t="s">
        <v>68</v>
      </c>
      <c r="D4" s="20">
        <v>205046.55</v>
      </c>
      <c r="E4" s="20">
        <v>192480.55</v>
      </c>
      <c r="F4" s="20">
        <f t="shared" si="0"/>
        <v>12566</v>
      </c>
      <c r="G4" s="21" t="str">
        <f ca="1">IFERROR(__xludf.DUMMYFUNCTION("""COMPUTED_VALUE"""),"Kee Sung Agriculture (M) Sdn Bhd")</f>
        <v>Kee Sung Agriculture (M) Sdn Bhd</v>
      </c>
      <c r="H4" s="22">
        <f ca="1">IFERROR(__xludf.DUMMYFUNCTION("""COMPUTED_VALUE"""),19190)</f>
        <v>19190</v>
      </c>
      <c r="I4" s="23">
        <f ca="1">IFERROR(__xludf.DUMMYFUNCTION("""COMPUTED_VALUE"""),2.03)</f>
        <v>2.0299999999999998</v>
      </c>
      <c r="J4" s="22">
        <f ca="1">IFERROR(__xludf.DUMMYFUNCTION("""COMPUTED_VALUE"""),1431)</f>
        <v>1431</v>
      </c>
      <c r="K4" s="24">
        <f ca="1">IFERROR(__xludf.DUMMYFUNCTION("""COMPUTED_VALUE"""),0.0745700885878061)</f>
        <v>7.4570088587806102E-2</v>
      </c>
      <c r="L4" s="24">
        <f ca="1">IFERROR(__xludf.DUMMYFUNCTION("""COMPUTED_VALUE"""),0.925429911412193)</f>
        <v>0.925429911412193</v>
      </c>
      <c r="M4" s="25">
        <f ca="1">IFERROR(__xludf.DUMMYFUNCTION("""COMPUTED_VALUE"""),35)</f>
        <v>35</v>
      </c>
      <c r="N4" s="22">
        <f ca="1">IFERROR(__xludf.DUMMYFUNCTION("""COMPUTED_VALUE"""),1345.12472)</f>
        <v>1345.12472</v>
      </c>
      <c r="O4" s="21">
        <f ca="1">IFERROR(__xludf.DUMMYFUNCTION("""COMPUTED_VALUE"""),1.64)</f>
        <v>1.64</v>
      </c>
      <c r="P4" s="22">
        <f ca="1">IFERROR(__xludf.DUMMYFUNCTION("""COMPUTED_VALUE"""),17759)</f>
        <v>17759</v>
      </c>
      <c r="Q4" s="20">
        <f ca="1">IFERROR(__xludf.DUMMYFUNCTION("""COMPUTED_VALUE"""),41009.9)</f>
        <v>41009.9</v>
      </c>
      <c r="R4" s="20">
        <f ca="1">IFERROR(__xludf.DUMMYFUNCTION("""COMPUTED_VALUE"""),2.30924601610451)</f>
        <v>2.3092460161045101</v>
      </c>
      <c r="S4" s="20">
        <f ca="1">IFERROR(__xludf.DUMMYFUNCTION("""COMPUTED_VALUE"""),11.5460639675657)</f>
        <v>11.546063967565701</v>
      </c>
      <c r="T4" s="26">
        <f ca="1">IFERROR(__xludf.DUMMYFUNCTION("""COMPUTED_VALUE"""),10.8384790810293)</f>
        <v>10.8384790810293</v>
      </c>
      <c r="U4" s="26">
        <f ca="1">IFERROR(__xludf.DUMMYFUNCTION("""COMPUTED_VALUE"""),0.707584886536404)</f>
        <v>0.70758488653640395</v>
      </c>
      <c r="V4" s="26">
        <f ca="1">IFERROR(__xludf.DUMMYFUNCTION("""COMPUTED_VALUE"""),4.99992806614988)</f>
        <v>4.9999280661498799</v>
      </c>
      <c r="W4" s="26">
        <f ca="1">IFERROR(__xludf.DUMMYFUNCTION("""COMPUTED_VALUE"""),4.69351424899841)</f>
        <v>4.6935142489984099</v>
      </c>
      <c r="X4" s="26">
        <f ca="1">IFERROR(__xludf.DUMMYFUNCTION("""COMPUTED_VALUE"""),0.306413817151468)</f>
        <v>0.30641381715146798</v>
      </c>
      <c r="Y4" s="26">
        <f ca="1">IFERROR(__xludf.DUMMYFUNCTION("""COMPUTED_VALUE"""),0.707584886536402)</f>
        <v>0.70758488653640195</v>
      </c>
      <c r="Z4" s="27">
        <f ca="1">IFERROR(__xludf.DUMMYFUNCTION("""COMPUTED_VALUE"""),325.769106114719)</f>
        <v>325.76910611471902</v>
      </c>
      <c r="AA4" s="28" t="str">
        <f ca="1">IFERROR(__xludf.DUMMYFUNCTION("""COMPUTED_VALUE"""),"JUST AVERAGE")</f>
        <v>JUST AVERAGE</v>
      </c>
    </row>
    <row r="5" spans="1:27" ht="14.25" x14ac:dyDescent="0.2">
      <c r="A5" s="17">
        <v>2021</v>
      </c>
      <c r="B5" s="18" t="s">
        <v>5</v>
      </c>
      <c r="C5" s="19" t="s">
        <v>69</v>
      </c>
      <c r="D5" s="20">
        <v>204760.72</v>
      </c>
      <c r="E5" s="20">
        <v>209555.36</v>
      </c>
      <c r="F5" s="20">
        <f t="shared" si="0"/>
        <v>-4794.6399999999849</v>
      </c>
      <c r="G5" s="21" t="str">
        <f ca="1">IFERROR(__xludf.DUMMYFUNCTION("""COMPUTED_VALUE"""),"Kee Sung Agriculture (M) Sdn Bhd")</f>
        <v>Kee Sung Agriculture (M) Sdn Bhd</v>
      </c>
      <c r="H5" s="22">
        <f ca="1">IFERROR(__xludf.DUMMYFUNCTION("""COMPUTED_VALUE"""),21210)</f>
        <v>21210</v>
      </c>
      <c r="I5" s="23">
        <f ca="1">IFERROR(__xludf.DUMMYFUNCTION("""COMPUTED_VALUE"""),2.03)</f>
        <v>2.0299999999999998</v>
      </c>
      <c r="J5" s="22">
        <f ca="1">IFERROR(__xludf.DUMMYFUNCTION("""COMPUTED_VALUE"""),1381)</f>
        <v>1381</v>
      </c>
      <c r="K5" s="24">
        <f ca="1">IFERROR(__xludf.DUMMYFUNCTION("""COMPUTED_VALUE"""),0.0651107967939651)</f>
        <v>6.5110796793965101E-2</v>
      </c>
      <c r="L5" s="24">
        <f ca="1">IFERROR(__xludf.DUMMYFUNCTION("""COMPUTED_VALUE"""),0.934889203206034)</f>
        <v>0.93488920320603397</v>
      </c>
      <c r="M5" s="25">
        <f ca="1">IFERROR(__xludf.DUMMYFUNCTION("""COMPUTED_VALUE"""),35)</f>
        <v>35</v>
      </c>
      <c r="N5" s="22">
        <f ca="1">IFERROR(__xludf.DUMMYFUNCTION("""COMPUTED_VALUE"""),1443.66755999999)</f>
        <v>1443.6675599999901</v>
      </c>
      <c r="O5" s="21">
        <f ca="1">IFERROR(__xludf.DUMMYFUNCTION("""COMPUTED_VALUE"""),1.74)</f>
        <v>1.74</v>
      </c>
      <c r="P5" s="22">
        <f ca="1">IFERROR(__xludf.DUMMYFUNCTION("""COMPUTED_VALUE"""),19829)</f>
        <v>19829</v>
      </c>
      <c r="Q5" s="20">
        <f ca="1">IFERROR(__xludf.DUMMYFUNCTION("""COMPUTED_VALUE"""),41484.7)</f>
        <v>41484.699999999997</v>
      </c>
      <c r="R5" s="20">
        <f ca="1">IFERROR(__xludf.DUMMYFUNCTION("""COMPUTED_VALUE"""),2.09212264864592)</f>
        <v>2.0921226486459199</v>
      </c>
      <c r="S5" s="20">
        <f ca="1">IFERROR(__xludf.DUMMYFUNCTION("""COMPUTED_VALUE"""),10.3263260880528)</f>
        <v>10.326326088052801</v>
      </c>
      <c r="T5" s="26">
        <f ca="1">IFERROR(__xludf.DUMMYFUNCTION("""COMPUTED_VALUE"""),10.5681254727923)</f>
        <v>10.5681254727923</v>
      </c>
      <c r="U5" s="26">
        <f ca="1">IFERROR(__xludf.DUMMYFUNCTION("""COMPUTED_VALUE"""),-0.241799384739524)</f>
        <v>-0.241799384739524</v>
      </c>
      <c r="V5" s="26">
        <f ca="1">IFERROR(__xludf.DUMMYFUNCTION("""COMPUTED_VALUE"""),4.93581296236925)</f>
        <v>4.9358129623692504</v>
      </c>
      <c r="W5" s="26">
        <f ca="1">IFERROR(__xludf.DUMMYFUNCTION("""COMPUTED_VALUE"""),5.05138906633047)</f>
        <v>5.0513890663304704</v>
      </c>
      <c r="X5" s="26">
        <f ca="1">IFERROR(__xludf.DUMMYFUNCTION("""COMPUTED_VALUE"""),-0.115576103961219)</f>
        <v>-0.11557610396121901</v>
      </c>
      <c r="Y5" s="26">
        <f ca="1">IFERROR(__xludf.DUMMYFUNCTION("""COMPUTED_VALUE"""),-0.241799384739523)</f>
        <v>-0.241799384739523</v>
      </c>
      <c r="Z5" s="27">
        <f ca="1">IFERROR(__xludf.DUMMYFUNCTION("""COMPUTED_VALUE"""),281.02052816119)</f>
        <v>281.02052816118999</v>
      </c>
      <c r="AA5" s="28" t="str">
        <f ca="1">IFERROR(__xludf.DUMMYFUNCTION("""COMPUTED_VALUE"""),"VERY BAD")</f>
        <v>VERY BAD</v>
      </c>
    </row>
    <row r="6" spans="1:27" ht="14.25" x14ac:dyDescent="0.2">
      <c r="A6" s="17">
        <v>2021</v>
      </c>
      <c r="B6" s="18" t="s">
        <v>5</v>
      </c>
      <c r="C6" s="19" t="s">
        <v>70</v>
      </c>
      <c r="D6" s="20">
        <v>317232.55</v>
      </c>
      <c r="E6" s="20">
        <v>308007.65999999997</v>
      </c>
      <c r="F6" s="20">
        <f t="shared" si="0"/>
        <v>9224.890000000014</v>
      </c>
      <c r="G6" s="21" t="str">
        <f ca="1">IFERROR(__xludf.DUMMYFUNCTION("""COMPUTED_VALUE"""),"Kee Sung Agriculture (M) Sdn Bhd")</f>
        <v>Kee Sung Agriculture (M) Sdn Bhd</v>
      </c>
      <c r="H6" s="22">
        <f ca="1">IFERROR(__xludf.DUMMYFUNCTION("""COMPUTED_VALUE"""),33000)</f>
        <v>33000</v>
      </c>
      <c r="I6" s="23">
        <f ca="1">IFERROR(__xludf.DUMMYFUNCTION("""COMPUTED_VALUE"""),2.03)</f>
        <v>2.0299999999999998</v>
      </c>
      <c r="J6" s="22">
        <f ca="1">IFERROR(__xludf.DUMMYFUNCTION("""COMPUTED_VALUE"""),2024)</f>
        <v>2024</v>
      </c>
      <c r="K6" s="24">
        <f ca="1">IFERROR(__xludf.DUMMYFUNCTION("""COMPUTED_VALUE"""),0.0613333333333333)</f>
        <v>6.1333333333333302E-2</v>
      </c>
      <c r="L6" s="24">
        <f ca="1">IFERROR(__xludf.DUMMYFUNCTION("""COMPUTED_VALUE"""),0.938666666666666)</f>
        <v>0.93866666666666598</v>
      </c>
      <c r="M6" s="25">
        <f ca="1">IFERROR(__xludf.DUMMYFUNCTION("""COMPUTED_VALUE"""),35)</f>
        <v>35</v>
      </c>
      <c r="N6" s="22">
        <f ca="1">IFERROR(__xludf.DUMMYFUNCTION("""COMPUTED_VALUE"""),2218.28376)</f>
        <v>2218.2837599999998</v>
      </c>
      <c r="O6" s="21">
        <f ca="1">IFERROR(__xludf.DUMMYFUNCTION("""COMPUTED_VALUE"""),1.61)</f>
        <v>1.61</v>
      </c>
      <c r="P6" s="22">
        <f ca="1">IFERROR(__xludf.DUMMYFUNCTION("""COMPUTED_VALUE"""),30976)</f>
        <v>30976</v>
      </c>
      <c r="Q6" s="20">
        <f ca="1">IFERROR(__xludf.DUMMYFUNCTION("""COMPUTED_VALUE"""),68890.8)</f>
        <v>68890.8</v>
      </c>
      <c r="R6" s="20">
        <f ca="1">IFERROR(__xludf.DUMMYFUNCTION("""COMPUTED_VALUE"""),2.22400568181818)</f>
        <v>2.2240056818181801</v>
      </c>
      <c r="S6" s="20">
        <f ca="1">IFERROR(__xludf.DUMMYFUNCTION("""COMPUTED_VALUE"""),10.2412367639462)</f>
        <v>10.241236763946199</v>
      </c>
      <c r="T6" s="26">
        <f ca="1">IFERROR(__xludf.DUMMYFUNCTION("""COMPUTED_VALUE"""),9.94342910640495)</f>
        <v>9.9434291064049507</v>
      </c>
      <c r="U6" s="26">
        <f ca="1">IFERROR(__xludf.DUMMYFUNCTION("""COMPUTED_VALUE"""),0.297807657541323)</f>
        <v>0.29780765754132299</v>
      </c>
      <c r="V6" s="26">
        <f ca="1">IFERROR(__xludf.DUMMYFUNCTION("""COMPUTED_VALUE"""),4.60486088127877)</f>
        <v>4.6048608812787704</v>
      </c>
      <c r="W6" s="26">
        <f ca="1">IFERROR(__xludf.DUMMYFUNCTION("""COMPUTED_VALUE"""),4.47095490254141)</f>
        <v>4.4709549025414104</v>
      </c>
      <c r="X6" s="26">
        <f ca="1">IFERROR(__xludf.DUMMYFUNCTION("""COMPUTED_VALUE"""),0.133905978737364)</f>
        <v>0.13390597873736401</v>
      </c>
      <c r="Y6" s="26">
        <f ca="1">IFERROR(__xludf.DUMMYFUNCTION("""COMPUTED_VALUE"""),0.297807657541322)</f>
        <v>0.29780765754132199</v>
      </c>
      <c r="Z6" s="27">
        <f ca="1">IFERROR(__xludf.DUMMYFUNCTION("""COMPUTED_VALUE"""),324.161490683229)</f>
        <v>324.16149068322898</v>
      </c>
      <c r="AA6" s="28" t="str">
        <f ca="1">IFERROR(__xludf.DUMMYFUNCTION("""COMPUTED_VALUE"""),"VERY BAD")</f>
        <v>VERY BAD</v>
      </c>
    </row>
    <row r="7" spans="1:27" ht="14.25" x14ac:dyDescent="0.2">
      <c r="A7" s="17">
        <v>2021</v>
      </c>
      <c r="B7" s="18" t="s">
        <v>5</v>
      </c>
      <c r="C7" s="19" t="s">
        <v>71</v>
      </c>
      <c r="D7" s="20">
        <v>321999.65000000002</v>
      </c>
      <c r="E7" s="20">
        <v>335947.32</v>
      </c>
      <c r="F7" s="20">
        <f t="shared" si="0"/>
        <v>-13947.669999999984</v>
      </c>
      <c r="G7" s="21" t="str">
        <f ca="1">IFERROR(__xludf.DUMMYFUNCTION("""COMPUTED_VALUE"""),"Kee Sung Agriculture (M) Sdn Bhd")</f>
        <v>Kee Sung Agriculture (M) Sdn Bhd</v>
      </c>
      <c r="H7" s="22">
        <f ca="1">IFERROR(__xludf.DUMMYFUNCTION("""COMPUTED_VALUE"""),35600)</f>
        <v>35600</v>
      </c>
      <c r="I7" s="23">
        <f ca="1">IFERROR(__xludf.DUMMYFUNCTION("""COMPUTED_VALUE"""),2.03)</f>
        <v>2.0299999999999998</v>
      </c>
      <c r="J7" s="22">
        <f ca="1">IFERROR(__xludf.DUMMYFUNCTION("""COMPUTED_VALUE"""),1550)</f>
        <v>1550</v>
      </c>
      <c r="K7" s="24">
        <f ca="1">IFERROR(__xludf.DUMMYFUNCTION("""COMPUTED_VALUE"""),0.0435393258426966)</f>
        <v>4.3539325842696597E-2</v>
      </c>
      <c r="L7" s="24">
        <f ca="1">IFERROR(__xludf.DUMMYFUNCTION("""COMPUTED_VALUE"""),0.956460674157303)</f>
        <v>0.95646067415730296</v>
      </c>
      <c r="M7" s="25">
        <f ca="1">IFERROR(__xludf.DUMMYFUNCTION("""COMPUTED_VALUE"""),35)</f>
        <v>35</v>
      </c>
      <c r="N7" s="22">
        <f ca="1">IFERROR(__xludf.DUMMYFUNCTION("""COMPUTED_VALUE"""),2402.48946)</f>
        <v>2402.4894599999998</v>
      </c>
      <c r="O7" s="21">
        <f ca="1">IFERROR(__xludf.DUMMYFUNCTION("""COMPUTED_VALUE"""),1.55)</f>
        <v>1.55</v>
      </c>
      <c r="P7" s="22">
        <f ca="1">IFERROR(__xludf.DUMMYFUNCTION("""COMPUTED_VALUE"""),34050)</f>
        <v>34050</v>
      </c>
      <c r="Q7" s="20">
        <f ca="1">IFERROR(__xludf.DUMMYFUNCTION("""COMPUTED_VALUE"""),77499.66)</f>
        <v>77499.66</v>
      </c>
      <c r="R7" s="20">
        <f ca="1">IFERROR(__xludf.DUMMYFUNCTION("""COMPUTED_VALUE"""),2.27605462555066)</f>
        <v>2.27605462555066</v>
      </c>
      <c r="S7" s="20">
        <f ca="1">IFERROR(__xludf.DUMMYFUNCTION("""COMPUTED_VALUE"""),9.45667107195301)</f>
        <v>9.4566710719530107</v>
      </c>
      <c r="T7" s="26">
        <f ca="1">IFERROR(__xludf.DUMMYFUNCTION("""COMPUTED_VALUE"""),9.86629427312775)</f>
        <v>9.8662942731277496</v>
      </c>
      <c r="U7" s="26">
        <f ca="1">IFERROR(__xludf.DUMMYFUNCTION("""COMPUTED_VALUE"""),-0.409623201174742)</f>
        <v>-0.40962320117474199</v>
      </c>
      <c r="V7" s="26">
        <f ca="1">IFERROR(__xludf.DUMMYFUNCTION("""COMPUTED_VALUE"""),4.15485242128804)</f>
        <v>4.15485242128804</v>
      </c>
      <c r="W7" s="26">
        <f ca="1">IFERROR(__xludf.DUMMYFUNCTION("""COMPUTED_VALUE"""),4.33482314632089)</f>
        <v>4.3348231463208897</v>
      </c>
      <c r="X7" s="26">
        <f ca="1">IFERROR(__xludf.DUMMYFUNCTION("""COMPUTED_VALUE"""),-0.179970725032857)</f>
        <v>-0.17997072503285699</v>
      </c>
      <c r="Y7" s="26">
        <f ca="1">IFERROR(__xludf.DUMMYFUNCTION("""COMPUTED_VALUE"""),-0.409623201174742)</f>
        <v>-0.40962320117474199</v>
      </c>
      <c r="Z7" s="27">
        <f ca="1">IFERROR(__xludf.DUMMYFUNCTION("""COMPUTED_VALUE"""),351.122055092424)</f>
        <v>351.12205509242398</v>
      </c>
      <c r="AA7" s="28" t="str">
        <f ca="1">IFERROR(__xludf.DUMMYFUNCTION("""COMPUTED_VALUE"""),"VERY BAD")</f>
        <v>VERY BAD</v>
      </c>
    </row>
    <row r="8" spans="1:27" ht="14.25" x14ac:dyDescent="0.2">
      <c r="A8" s="17">
        <v>2021</v>
      </c>
      <c r="B8" s="18" t="s">
        <v>8</v>
      </c>
      <c r="C8" s="19" t="s">
        <v>66</v>
      </c>
      <c r="D8" s="20">
        <f ca="1">IFERROR(__xludf.DUMMYFUNCTION("TRANSPOSE(IMPORTRANGE(""1OP-qxVLNURBqstk-WZQd8qB2vYxDQLc8s35zWl_CMzo"", ""2021!C12:E12""))"),162651.21)</f>
        <v>162651.21</v>
      </c>
      <c r="E8" s="20">
        <f ca="1">IFERROR(__xludf.DUMMYFUNCTION("TRANSPOSE(IMPORTRANGE(""1OP-qxVLNURBqstk-WZQd8qB2vYxDQLc8s35zWl_CMzo"", ""2021!C41:E41""))"),142154.97)</f>
        <v>142154.97</v>
      </c>
      <c r="F8" s="20">
        <f t="shared" ca="1" si="0"/>
        <v>20496.239999999991</v>
      </c>
      <c r="G8" s="22" t="str">
        <f ca="1">IFERROR(__xludf.DUMMYFUNCTION("TRANSPOSE(IMPORTRANGE(""1OP-qxVLNURBqstk-WZQd8qB2vYxDQLc8s35zWl_CMzo"", ""2021!C49:E69""))"),"Huat Lai Resourses Bhd")</f>
        <v>Huat Lai Resourses Bhd</v>
      </c>
      <c r="H8" s="22">
        <f ca="1">IFERROR(__xludf.DUMMYFUNCTION("""COMPUTED_VALUE"""),14600)</f>
        <v>14600</v>
      </c>
      <c r="I8" s="23">
        <f ca="1">IFERROR(__xludf.DUMMYFUNCTION("""COMPUTED_VALUE"""),1.6)</f>
        <v>1.6</v>
      </c>
      <c r="J8" s="22">
        <f ca="1">IFERROR(__xludf.DUMMYFUNCTION("""COMPUTED_VALUE"""),477)</f>
        <v>477</v>
      </c>
      <c r="K8" s="24">
        <f ca="1">IFERROR(__xludf.DUMMYFUNCTION("""COMPUTED_VALUE"""),0.0326712328767123)</f>
        <v>3.2671232876712301E-2</v>
      </c>
      <c r="L8" s="24">
        <f ca="1">IFERROR(__xludf.DUMMYFUNCTION("""COMPUTED_VALUE"""),0.967328767123287)</f>
        <v>0.96732876712328697</v>
      </c>
      <c r="M8" s="25">
        <f ca="1">IFERROR(__xludf.DUMMYFUNCTION("""COMPUTED_VALUE"""),35)</f>
        <v>35</v>
      </c>
      <c r="N8" s="22">
        <f ca="1">IFERROR(__xludf.DUMMYFUNCTION("""COMPUTED_VALUE"""),1082.058576)</f>
        <v>1082.0585759999999</v>
      </c>
      <c r="O8" s="21">
        <f ca="1">IFERROR(__xludf.DUMMYFUNCTION("""COMPUTED_VALUE"""),1.58)</f>
        <v>1.58</v>
      </c>
      <c r="P8" s="22">
        <f ca="1">IFERROR(__xludf.DUMMYFUNCTION("""COMPUTED_VALUE"""),14123)</f>
        <v>14123</v>
      </c>
      <c r="Q8" s="20">
        <f ca="1">IFERROR(__xludf.DUMMYFUNCTION("""COMPUTED_VALUE"""),34242.36)</f>
        <v>34242.36</v>
      </c>
      <c r="R8" s="20">
        <f ca="1">IFERROR(__xludf.DUMMYFUNCTION("""COMPUTED_VALUE"""),2.42458117963605)</f>
        <v>2.4245811796360499</v>
      </c>
      <c r="S8" s="20">
        <f ca="1">IFERROR(__xludf.DUMMYFUNCTION("""COMPUTED_VALUE"""),11.5167606032712)</f>
        <v>11.5167606032712</v>
      </c>
      <c r="T8" s="26">
        <f ca="1">IFERROR(__xludf.DUMMYFUNCTION("""COMPUTED_VALUE"""),10.0654938752389)</f>
        <v>10.0654938752389</v>
      </c>
      <c r="U8" s="26">
        <f ca="1">IFERROR(__xludf.DUMMYFUNCTION("""COMPUTED_VALUE"""),1.45126672803228)</f>
        <v>1.45126672803228</v>
      </c>
      <c r="V8" s="26">
        <f ca="1">IFERROR(__xludf.DUMMYFUNCTION("""COMPUTED_VALUE"""),4.75)</f>
        <v>4.75</v>
      </c>
      <c r="W8" s="26">
        <f ca="1">IFERROR(__xludf.DUMMYFUNCTION("""COMPUTED_VALUE"""),4.15143611596864)</f>
        <v>4.1514361159686404</v>
      </c>
      <c r="X8" s="26">
        <f ca="1">IFERROR(__xludf.DUMMYFUNCTION("""COMPUTED_VALUE"""),0.598563884031357)</f>
        <v>0.59856388403135696</v>
      </c>
      <c r="Y8" s="26">
        <f ca="1">IFERROR(__xludf.DUMMYFUNCTION("""COMPUTED_VALUE"""),1.45126672803228)</f>
        <v>1.45126672803228</v>
      </c>
      <c r="Z8" s="27">
        <f ca="1">IFERROR(__xludf.DUMMYFUNCTION("""COMPUTED_VALUE"""),371.102392925264)</f>
        <v>371.10239292526398</v>
      </c>
      <c r="AA8" s="28" t="str">
        <f ca="1">IFERROR(__xludf.DUMMYFUNCTION("""COMPUTED_VALUE"""),"VERY GOOD")</f>
        <v>VERY GOOD</v>
      </c>
    </row>
    <row r="9" spans="1:27" ht="14.25" x14ac:dyDescent="0.2">
      <c r="A9" s="17">
        <v>2021</v>
      </c>
      <c r="B9" s="18" t="s">
        <v>8</v>
      </c>
      <c r="C9" s="19" t="s">
        <v>67</v>
      </c>
      <c r="D9" s="20">
        <f ca="1">IFERROR(__xludf.DUMMYFUNCTION("""COMPUTED_VALUE"""),131595.49)</f>
        <v>131595.49</v>
      </c>
      <c r="E9" s="20">
        <f ca="1">IFERROR(__xludf.DUMMYFUNCTION("""COMPUTED_VALUE"""),134178.15)</f>
        <v>134178.15</v>
      </c>
      <c r="F9" s="20">
        <f t="shared" ca="1" si="0"/>
        <v>-2582.6600000000035</v>
      </c>
      <c r="G9" s="22" t="str">
        <f ca="1">IFERROR(__xludf.DUMMYFUNCTION("""COMPUTED_VALUE"""),"Kee Sung Agriculture (M) Sdn Bhd")</f>
        <v>Kee Sung Agriculture (M) Sdn Bhd</v>
      </c>
      <c r="H9" s="22">
        <f ca="1">IFERROR(__xludf.DUMMYFUNCTION("""COMPUTED_VALUE"""),14600)</f>
        <v>14600</v>
      </c>
      <c r="I9" s="23">
        <f ca="1">IFERROR(__xludf.DUMMYFUNCTION("""COMPUTED_VALUE"""),1.6)</f>
        <v>1.6</v>
      </c>
      <c r="J9" s="22">
        <f ca="1">IFERROR(__xludf.DUMMYFUNCTION("""COMPUTED_VALUE"""),387)</f>
        <v>387</v>
      </c>
      <c r="K9" s="24">
        <f ca="1">IFERROR(__xludf.DUMMYFUNCTION("""COMPUTED_VALUE"""),0.0265068493150684)</f>
        <v>2.6506849315068401E-2</v>
      </c>
      <c r="L9" s="24">
        <f ca="1">IFERROR(__xludf.DUMMYFUNCTION("""COMPUTED_VALUE"""),0.973493150684931)</f>
        <v>0.97349315068493103</v>
      </c>
      <c r="M9" s="25">
        <f ca="1">IFERROR(__xludf.DUMMYFUNCTION("""COMPUTED_VALUE"""),35)</f>
        <v>35</v>
      </c>
      <c r="N9" s="22">
        <f ca="1">IFERROR(__xludf.DUMMYFUNCTION("""COMPUTED_VALUE"""),1014.891912)</f>
        <v>1014.891912</v>
      </c>
      <c r="O9" s="21">
        <f ca="1">IFERROR(__xludf.DUMMYFUNCTION("""COMPUTED_VALUE"""),1.59)</f>
        <v>1.59</v>
      </c>
      <c r="P9" s="22">
        <f ca="1">IFERROR(__xludf.DUMMYFUNCTION("""COMPUTED_VALUE"""),14213)</f>
        <v>14213</v>
      </c>
      <c r="Q9" s="20">
        <f ca="1">IFERROR(__xludf.DUMMYFUNCTION("""COMPUTED_VALUE"""),31914.84)</f>
        <v>31914.84</v>
      </c>
      <c r="R9" s="20">
        <f ca="1">IFERROR(__xludf.DUMMYFUNCTION("""COMPUTED_VALUE"""),2.24546823330753)</f>
        <v>2.24546823330753</v>
      </c>
      <c r="S9" s="20">
        <f ca="1">IFERROR(__xludf.DUMMYFUNCTION("""COMPUTED_VALUE"""),9.25881165130514)</f>
        <v>9.2588116513051393</v>
      </c>
      <c r="T9" s="26">
        <f ca="1">IFERROR(__xludf.DUMMYFUNCTION("""COMPUTED_VALUE"""),9.44052276085274)</f>
        <v>9.4405227608527404</v>
      </c>
      <c r="U9" s="26">
        <f ca="1">IFERROR(__xludf.DUMMYFUNCTION("""COMPUTED_VALUE"""),-0.181711109547597)</f>
        <v>-0.18171110954759701</v>
      </c>
      <c r="V9" s="26">
        <f ca="1">IFERROR(__xludf.DUMMYFUNCTION("""COMPUTED_VALUE"""),4.12333228053156)</f>
        <v>4.1233322805315602</v>
      </c>
      <c r="W9" s="26">
        <f ca="1">IFERROR(__xludf.DUMMYFUNCTION("""COMPUTED_VALUE"""),4.20425576314968)</f>
        <v>4.2042557631496802</v>
      </c>
      <c r="X9" s="26">
        <f ca="1">IFERROR(__xludf.DUMMYFUNCTION("""COMPUTED_VALUE"""),-0.0809234826181173)</f>
        <v>-8.0923482618117298E-2</v>
      </c>
      <c r="Y9" s="26">
        <f ca="1">IFERROR(__xludf.DUMMYFUNCTION("""COMPUTED_VALUE"""),-0.181711109547597)</f>
        <v>-0.18171110954759701</v>
      </c>
      <c r="Z9" s="27">
        <f ca="1">IFERROR(__xludf.DUMMYFUNCTION("""COMPUTED_VALUE"""),343.702507107779)</f>
        <v>343.70250710777901</v>
      </c>
      <c r="AA9" s="28" t="str">
        <f ca="1">IFERROR(__xludf.DUMMYFUNCTION("""COMPUTED_VALUE"""),"VERY BAD")</f>
        <v>VERY BAD</v>
      </c>
    </row>
    <row r="10" spans="1:27" ht="14.25" x14ac:dyDescent="0.2">
      <c r="A10" s="17">
        <v>2021</v>
      </c>
      <c r="B10" s="18" t="s">
        <v>8</v>
      </c>
      <c r="C10" s="19" t="s">
        <v>68</v>
      </c>
      <c r="D10" s="20">
        <f ca="1">IFERROR(__xludf.DUMMYFUNCTION("""COMPUTED_VALUE"""),144040.14)</f>
        <v>144040.14000000001</v>
      </c>
      <c r="E10" s="20">
        <f ca="1">IFERROR(__xludf.DUMMYFUNCTION("""COMPUTED_VALUE"""),133359.3)</f>
        <v>133359.29999999999</v>
      </c>
      <c r="F10" s="20">
        <f t="shared" ca="1" si="0"/>
        <v>10680.840000000026</v>
      </c>
      <c r="G10" s="22" t="str">
        <f ca="1">IFERROR(__xludf.DUMMYFUNCTION("""COMPUTED_VALUE"""),"Kee Sung Agriculture (M) Sdn Bhd")</f>
        <v>Kee Sung Agriculture (M) Sdn Bhd</v>
      </c>
      <c r="H10" s="22">
        <f ca="1">IFERROR(__xludf.DUMMYFUNCTION("""COMPUTED_VALUE"""),14600)</f>
        <v>14600</v>
      </c>
      <c r="I10" s="23">
        <f ca="1">IFERROR(__xludf.DUMMYFUNCTION("""COMPUTED_VALUE"""),1.6)</f>
        <v>1.6</v>
      </c>
      <c r="J10" s="22">
        <f ca="1">IFERROR(__xludf.DUMMYFUNCTION("""COMPUTED_VALUE"""),601)</f>
        <v>601</v>
      </c>
      <c r="K10" s="24">
        <f ca="1">IFERROR(__xludf.DUMMYFUNCTION("""COMPUTED_VALUE"""),0.0411643835616438)</f>
        <v>4.11643835616438E-2</v>
      </c>
      <c r="L10" s="24">
        <f ca="1">IFERROR(__xludf.DUMMYFUNCTION("""COMPUTED_VALUE"""),0.958835616438356)</f>
        <v>0.95883561643835602</v>
      </c>
      <c r="M10" s="25">
        <f ca="1">IFERROR(__xludf.DUMMYFUNCTION("""COMPUTED_VALUE"""),35)</f>
        <v>35</v>
      </c>
      <c r="N10" s="22">
        <f ca="1">IFERROR(__xludf.DUMMYFUNCTION("""COMPUTED_VALUE"""),1000.69992)</f>
        <v>1000.69992</v>
      </c>
      <c r="O10" s="21">
        <f ca="1">IFERROR(__xludf.DUMMYFUNCTION("""COMPUTED_VALUE"""),1.65)</f>
        <v>1.65</v>
      </c>
      <c r="P10" s="22">
        <f ca="1">IFERROR(__xludf.DUMMYFUNCTION("""COMPUTED_VALUE"""),13999)</f>
        <v>13999</v>
      </c>
      <c r="Q10" s="20">
        <f ca="1">IFERROR(__xludf.DUMMYFUNCTION("""COMPUTED_VALUE"""),30324.24)</f>
        <v>30324.240000000002</v>
      </c>
      <c r="R10" s="20">
        <f ca="1">IFERROR(__xludf.DUMMYFUNCTION("""COMPUTED_VALUE"""),2.16617186941924)</f>
        <v>2.16617186941924</v>
      </c>
      <c r="S10" s="20">
        <f ca="1">IFERROR(__xludf.DUMMYFUNCTION("""COMPUTED_VALUE"""),10.2893163797414)</f>
        <v>10.2893163797414</v>
      </c>
      <c r="T10" s="26">
        <f ca="1">IFERROR(__xludf.DUMMYFUNCTION("""COMPUTED_VALUE"""),9.52634473890992)</f>
        <v>9.5263447389099198</v>
      </c>
      <c r="U10" s="26">
        <f ca="1">IFERROR(__xludf.DUMMYFUNCTION("""COMPUTED_VALUE"""),0.762971640831489)</f>
        <v>0.76297164083148905</v>
      </c>
      <c r="V10" s="26">
        <f ca="1">IFERROR(__xludf.DUMMYFUNCTION("""COMPUTED_VALUE"""),4.75)</f>
        <v>4.75</v>
      </c>
      <c r="W10" s="26">
        <f ca="1">IFERROR(__xludf.DUMMYFUNCTION("""COMPUTED_VALUE"""),4.39777880665764)</f>
        <v>4.39777880665764</v>
      </c>
      <c r="X10" s="26">
        <f ca="1">IFERROR(__xludf.DUMMYFUNCTION("""COMPUTED_VALUE"""),0.352221193342356)</f>
        <v>0.35222119334235602</v>
      </c>
      <c r="Y10" s="26">
        <f ca="1">IFERROR(__xludf.DUMMYFUNCTION("""COMPUTED_VALUE"""),0.762971640831489)</f>
        <v>0.76297164083148905</v>
      </c>
      <c r="Z10" s="27">
        <f ca="1">IFERROR(__xludf.DUMMYFUNCTION("""COMPUTED_VALUE"""),314.697384806973)</f>
        <v>314.69738480697299</v>
      </c>
      <c r="AA10" s="28" t="str">
        <f ca="1">IFERROR(__xludf.DUMMYFUNCTION("""COMPUTED_VALUE"""),"JUST AVERAGE")</f>
        <v>JUST AVERAGE</v>
      </c>
    </row>
    <row r="11" spans="1:27" ht="14.25" x14ac:dyDescent="0.2">
      <c r="A11" s="29">
        <v>2022</v>
      </c>
      <c r="B11" s="30" t="s">
        <v>5</v>
      </c>
      <c r="C11" s="31" t="s">
        <v>72</v>
      </c>
      <c r="D11" s="32">
        <v>454199.97</v>
      </c>
      <c r="E11" s="32">
        <v>435150.07</v>
      </c>
      <c r="F11" s="32">
        <f t="shared" si="0"/>
        <v>19049.899999999965</v>
      </c>
      <c r="G11" s="33" t="str">
        <f ca="1">IFERROR(__xludf.DUMMYFUNCTION("TRANSPOSE(IMPORTRANGE(""1o4Ac6NI0SfLibsumFt9f9lHwJFVrF2ykccRsQvuxGAI"", ""2022!C49:H69""))"),"Kee Sung Agriculture (M) Sdn Bhd")</f>
        <v>Kee Sung Agriculture (M) Sdn Bhd</v>
      </c>
      <c r="H11" s="34">
        <f ca="1">IFERROR(__xludf.DUMMYFUNCTION("""COMPUTED_VALUE"""),33200)</f>
        <v>33200</v>
      </c>
      <c r="I11" s="35">
        <f ca="1">IFERROR(__xludf.DUMMYFUNCTION("""COMPUTED_VALUE"""),2.03)</f>
        <v>2.0299999999999998</v>
      </c>
      <c r="J11" s="34">
        <f ca="1">IFERROR(__xludf.DUMMYFUNCTION("""COMPUTED_VALUE"""),2690)</f>
        <v>2690</v>
      </c>
      <c r="K11" s="36">
        <f ca="1">IFERROR(__xludf.DUMMYFUNCTION("""COMPUTED_VALUE"""),0.0810240963855421)</f>
        <v>8.1024096385542102E-2</v>
      </c>
      <c r="L11" s="36">
        <f ca="1">IFERROR(__xludf.DUMMYFUNCTION("""COMPUTED_VALUE"""),0.918975903614457)</f>
        <v>0.91897590361445702</v>
      </c>
      <c r="M11" s="37">
        <f ca="1">IFERROR(__xludf.DUMMYFUNCTION("""COMPUTED_VALUE"""),35)</f>
        <v>35</v>
      </c>
      <c r="N11" s="34">
        <f ca="1">IFERROR(__xludf.DUMMYFUNCTION("""COMPUTED_VALUE"""),2022.76553599999)</f>
        <v>2022.7655359999901</v>
      </c>
      <c r="O11" s="33">
        <f ca="1">IFERROR(__xludf.DUMMYFUNCTION("""COMPUTED_VALUE"""),1.52)</f>
        <v>1.52</v>
      </c>
      <c r="P11" s="34">
        <f ca="1">IFERROR(__xludf.DUMMYFUNCTION("""COMPUTED_VALUE"""),30510)</f>
        <v>30510</v>
      </c>
      <c r="Q11" s="32">
        <f ca="1">IFERROR(__xludf.DUMMYFUNCTION("""COMPUTED_VALUE"""),66538.34)</f>
        <v>66538.34</v>
      </c>
      <c r="R11" s="32">
        <f ca="1">IFERROR(__xludf.DUMMYFUNCTION("""COMPUTED_VALUE"""),2.18086987872828)</f>
        <v>2.1808698787282799</v>
      </c>
      <c r="S11" s="32">
        <f ca="1">IFERROR(__xludf.DUMMYFUNCTION("""COMPUTED_VALUE"""),14.8869213372664)</f>
        <v>14.886921337266401</v>
      </c>
      <c r="T11" s="38">
        <f ca="1">IFERROR(__xludf.DUMMYFUNCTION("""COMPUTED_VALUE"""),14.262539167486)</f>
        <v>14.262539167486</v>
      </c>
      <c r="U11" s="38">
        <f ca="1">IFERROR(__xludf.DUMMYFUNCTION("""COMPUTED_VALUE"""),0.624382169780403)</f>
        <v>0.62438216978040295</v>
      </c>
      <c r="V11" s="38">
        <f ca="1">IFERROR(__xludf.DUMMYFUNCTION("""COMPUTED_VALUE"""),6.57853156541025)</f>
        <v>6.5785315654102501</v>
      </c>
      <c r="W11" s="38">
        <f ca="1">IFERROR(__xludf.DUMMYFUNCTION("""COMPUTED_VALUE"""),6.53983958722144)</f>
        <v>6.5398395872214401</v>
      </c>
      <c r="X11" s="38">
        <f ca="1">IFERROR(__xludf.DUMMYFUNCTION("""COMPUTED_VALUE"""),0.038691978188817)</f>
        <v>3.8691978188816999E-2</v>
      </c>
      <c r="Y11" s="38">
        <f ca="1">IFERROR(__xludf.DUMMYFUNCTION("""COMPUTED_VALUE"""),0.624382169780402)</f>
        <v>0.62438216978040195</v>
      </c>
      <c r="Z11" s="39">
        <f ca="1">IFERROR(__xludf.DUMMYFUNCTION("""COMPUTED_VALUE"""),329.63270846544)</f>
        <v>329.63270846543998</v>
      </c>
      <c r="AA11" s="40" t="str">
        <f ca="1">IFERROR(__xludf.DUMMYFUNCTION("""COMPUTED_VALUE"""),"JUST AVERAGE")</f>
        <v>JUST AVERAGE</v>
      </c>
    </row>
    <row r="12" spans="1:27" ht="14.25" x14ac:dyDescent="0.2">
      <c r="A12" s="29">
        <v>2022</v>
      </c>
      <c r="B12" s="30" t="s">
        <v>5</v>
      </c>
      <c r="C12" s="31" t="s">
        <v>73</v>
      </c>
      <c r="D12" s="32">
        <v>504314.55</v>
      </c>
      <c r="E12" s="32">
        <v>485507.61</v>
      </c>
      <c r="F12" s="32">
        <f t="shared" si="0"/>
        <v>18806.940000000002</v>
      </c>
      <c r="G12" s="33" t="str">
        <f ca="1">IFERROR(__xludf.DUMMYFUNCTION("""COMPUTED_VALUE"""),"Kee Sung Agriculture (M) Sdn Bhd")</f>
        <v>Kee Sung Agriculture (M) Sdn Bhd</v>
      </c>
      <c r="H12" s="34">
        <f ca="1">IFERROR(__xludf.DUMMYFUNCTION("""COMPUTED_VALUE"""),35900)</f>
        <v>35900</v>
      </c>
      <c r="I12" s="35">
        <f ca="1">IFERROR(__xludf.DUMMYFUNCTION("""COMPUTED_VALUE"""),2.03)</f>
        <v>2.0299999999999998</v>
      </c>
      <c r="J12" s="34">
        <f ca="1">IFERROR(__xludf.DUMMYFUNCTION("""COMPUTED_VALUE"""),2347)</f>
        <v>2347</v>
      </c>
      <c r="K12" s="36">
        <f ca="1">IFERROR(__xludf.DUMMYFUNCTION("""COMPUTED_VALUE"""),0.0653760445682451)</f>
        <v>6.5376044568245098E-2</v>
      </c>
      <c r="L12" s="36">
        <f ca="1">IFERROR(__xludf.DUMMYFUNCTION("""COMPUTED_VALUE"""),0.934623955431754)</f>
        <v>0.93462395543175403</v>
      </c>
      <c r="M12" s="37">
        <f ca="1">IFERROR(__xludf.DUMMYFUNCTION("""COMPUTED_VALUE"""),35)</f>
        <v>35</v>
      </c>
      <c r="N12" s="34">
        <f ca="1">IFERROR(__xludf.DUMMYFUNCTION("""COMPUTED_VALUE"""),2238.47316)</f>
        <v>2238.47316</v>
      </c>
      <c r="O12" s="33">
        <f ca="1">IFERROR(__xludf.DUMMYFUNCTION("""COMPUTED_VALUE"""),1.61)</f>
        <v>1.61</v>
      </c>
      <c r="P12" s="34">
        <f ca="1">IFERROR(__xludf.DUMMYFUNCTION("""COMPUTED_VALUE"""),33553)</f>
        <v>33553</v>
      </c>
      <c r="Q12" s="32">
        <f ca="1">IFERROR(__xludf.DUMMYFUNCTION("""COMPUTED_VALUE"""),69517.8)</f>
        <v>69517.8</v>
      </c>
      <c r="R12" s="32">
        <f ca="1">IFERROR(__xludf.DUMMYFUNCTION("""COMPUTED_VALUE"""),2.07188030876523)</f>
        <v>2.07188030876523</v>
      </c>
      <c r="S12" s="32">
        <f ca="1">IFERROR(__xludf.DUMMYFUNCTION("""COMPUTED_VALUE"""),15.0303862545823)</f>
        <v>15.0303862545823</v>
      </c>
      <c r="T12" s="38">
        <f ca="1">IFERROR(__xludf.DUMMYFUNCTION("""COMPUTED_VALUE"""),14.4698718445444)</f>
        <v>14.4698718445444</v>
      </c>
      <c r="U12" s="38">
        <f ca="1">IFERROR(__xludf.DUMMYFUNCTION("""COMPUTED_VALUE"""),0.560514410037852)</f>
        <v>0.56051441003785196</v>
      </c>
      <c r="V12" s="38">
        <f ca="1">IFERROR(__xludf.DUMMYFUNCTION("""COMPUTED_VALUE"""),7.25429530278576)</f>
        <v>7.25429530278576</v>
      </c>
      <c r="W12" s="38">
        <f ca="1">IFERROR(__xludf.DUMMYFUNCTION("""COMPUTED_VALUE"""),6.98393231661531)</f>
        <v>6.9839323166153102</v>
      </c>
      <c r="X12" s="38">
        <f ca="1">IFERROR(__xludf.DUMMYFUNCTION("""COMPUTED_VALUE"""),0.270362986170449)</f>
        <v>0.27036298617044902</v>
      </c>
      <c r="Y12" s="38">
        <f ca="1">IFERROR(__xludf.DUMMYFUNCTION("""COMPUTED_VALUE"""),0.560514410037852)</f>
        <v>0.56051441003785196</v>
      </c>
      <c r="Z12" s="39">
        <f ca="1">IFERROR(__xludf.DUMMYFUNCTION("""COMPUTED_VALUE"""),300.687728161386)</f>
        <v>300.68772816138602</v>
      </c>
      <c r="AA12" s="40" t="str">
        <f ca="1">IFERROR(__xludf.DUMMYFUNCTION("""COMPUTED_VALUE"""),"VERY BAD")</f>
        <v>VERY BAD</v>
      </c>
    </row>
    <row r="13" spans="1:27" ht="14.25" x14ac:dyDescent="0.2">
      <c r="A13" s="29">
        <v>2022</v>
      </c>
      <c r="B13" s="30" t="s">
        <v>5</v>
      </c>
      <c r="C13" s="31" t="s">
        <v>74</v>
      </c>
      <c r="D13" s="32">
        <v>522560.9</v>
      </c>
      <c r="E13" s="32">
        <v>460750.19</v>
      </c>
      <c r="F13" s="32">
        <f t="shared" si="0"/>
        <v>61810.710000000021</v>
      </c>
      <c r="G13" s="33" t="str">
        <f ca="1">IFERROR(__xludf.DUMMYFUNCTION("""COMPUTED_VALUE"""),"Kee Sung Agriculture (M) Sdn Bhd")</f>
        <v>Kee Sung Agriculture (M) Sdn Bhd</v>
      </c>
      <c r="H13" s="34">
        <f ca="1">IFERROR(__xludf.DUMMYFUNCTION("""COMPUTED_VALUE"""),34000)</f>
        <v>34000</v>
      </c>
      <c r="I13" s="35">
        <f ca="1">IFERROR(__xludf.DUMMYFUNCTION("""COMPUTED_VALUE"""),2.03)</f>
        <v>2.0299999999999998</v>
      </c>
      <c r="J13" s="34">
        <f ca="1">IFERROR(__xludf.DUMMYFUNCTION("""COMPUTED_VALUE"""),1722)</f>
        <v>1722</v>
      </c>
      <c r="K13" s="36">
        <f ca="1">IFERROR(__xludf.DUMMYFUNCTION("""COMPUTED_VALUE"""),0.0506470588235294)</f>
        <v>5.0647058823529399E-2</v>
      </c>
      <c r="L13" s="36">
        <f ca="1">IFERROR(__xludf.DUMMYFUNCTION("""COMPUTED_VALUE"""),0.94935294117647)</f>
        <v>0.94935294117646996</v>
      </c>
      <c r="M13" s="37">
        <f ca="1">IFERROR(__xludf.DUMMYFUNCTION("""COMPUTED_VALUE"""),35)</f>
        <v>35</v>
      </c>
      <c r="N13" s="34">
        <f ca="1">IFERROR(__xludf.DUMMYFUNCTION("""COMPUTED_VALUE"""),2223.587556)</f>
        <v>2223.5875559999999</v>
      </c>
      <c r="O13" s="33">
        <f ca="1">IFERROR(__xludf.DUMMYFUNCTION("""COMPUTED_VALUE"""),1.71)</f>
        <v>1.71</v>
      </c>
      <c r="P13" s="34">
        <f ca="1">IFERROR(__xludf.DUMMYFUNCTION("""COMPUTED_VALUE"""),32278)</f>
        <v>32278</v>
      </c>
      <c r="Q13" s="32">
        <f ca="1">IFERROR(__xludf.DUMMYFUNCTION("""COMPUTED_VALUE"""),65017.18)</f>
        <v>65017.18</v>
      </c>
      <c r="R13" s="32">
        <f ca="1">IFERROR(__xludf.DUMMYFUNCTION("""COMPUTED_VALUE"""),2.01428775017039)</f>
        <v>2.0142877501703902</v>
      </c>
      <c r="S13" s="32">
        <f ca="1">IFERROR(__xludf.DUMMYFUNCTION("""COMPUTED_VALUE"""),16.1893828613916)</f>
        <v>16.1893828613916</v>
      </c>
      <c r="T13" s="32">
        <f ca="1">IFERROR(__xludf.DUMMYFUNCTION("""COMPUTED_VALUE"""),14.274434289609)</f>
        <v>14.274434289608999</v>
      </c>
      <c r="U13" s="32">
        <f ca="1">IFERROR(__xludf.DUMMYFUNCTION("""COMPUTED_VALUE"""),1.91494857178263)</f>
        <v>1.91494857178263</v>
      </c>
      <c r="V13" s="32">
        <f ca="1">IFERROR(__xludf.DUMMYFUNCTION("""COMPUTED_VALUE"""),7.38703401162585)</f>
        <v>7.3870340116258504</v>
      </c>
      <c r="W13" s="38">
        <f ca="1">IFERROR(__xludf.DUMMYFUNCTION("""COMPUTED_VALUE"""),7.08659142091367)</f>
        <v>7.0865914209136696</v>
      </c>
      <c r="X13" s="38">
        <f ca="1">IFERROR(__xludf.DUMMYFUNCTION("""COMPUTED_VALUE"""),0.300442590712179)</f>
        <v>0.30044259071217899</v>
      </c>
      <c r="Y13" s="38">
        <f ca="1">IFERROR(__xludf.DUMMYFUNCTION("""COMPUTED_VALUE"""),1.91494857178264)</f>
        <v>1.91494857178264</v>
      </c>
      <c r="Z13" s="39">
        <f ca="1">IFERROR(__xludf.DUMMYFUNCTION("""COMPUTED_VALUE"""),279.5716374269)</f>
        <v>279.5716374269</v>
      </c>
      <c r="AA13" s="40" t="str">
        <f ca="1">IFERROR(__xludf.DUMMYFUNCTION("""COMPUTED_VALUE"""),"VERY GOOD")</f>
        <v>VERY GOOD</v>
      </c>
    </row>
    <row r="14" spans="1:27" ht="14.25" x14ac:dyDescent="0.2">
      <c r="A14" s="29">
        <v>2022</v>
      </c>
      <c r="B14" s="30" t="s">
        <v>5</v>
      </c>
      <c r="C14" s="31" t="s">
        <v>75</v>
      </c>
      <c r="D14" s="32">
        <v>442110.14</v>
      </c>
      <c r="E14" s="32">
        <v>426068.25</v>
      </c>
      <c r="F14" s="32">
        <f t="shared" si="0"/>
        <v>16041.890000000014</v>
      </c>
      <c r="G14" s="33" t="str">
        <f ca="1">IFERROR(__xludf.DUMMYFUNCTION("""COMPUTED_VALUE"""),"Kee Sung Agriculture (M) Sdn Bhd")</f>
        <v>Kee Sung Agriculture (M) Sdn Bhd</v>
      </c>
      <c r="H14" s="34">
        <f ca="1">IFERROR(__xludf.DUMMYFUNCTION("""COMPUTED_VALUE"""),37500)</f>
        <v>37500</v>
      </c>
      <c r="I14" s="35">
        <f ca="1">IFERROR(__xludf.DUMMYFUNCTION("""COMPUTED_VALUE"""),2.03)</f>
        <v>2.0299999999999998</v>
      </c>
      <c r="J14" s="34">
        <f ca="1">IFERROR(__xludf.DUMMYFUNCTION("""COMPUTED_VALUE"""),2541)</f>
        <v>2541</v>
      </c>
      <c r="K14" s="36">
        <f ca="1">IFERROR(__xludf.DUMMYFUNCTION("""COMPUTED_VALUE"""),0.06776)</f>
        <v>6.7760000000000001E-2</v>
      </c>
      <c r="L14" s="36">
        <f ca="1">IFERROR(__xludf.DUMMYFUNCTION("""COMPUTED_VALUE"""),0.93224)</f>
        <v>0.93223999999999996</v>
      </c>
      <c r="M14" s="37">
        <f ca="1">IFERROR(__xludf.DUMMYFUNCTION("""COMPUTED_VALUE"""),35)</f>
        <v>35</v>
      </c>
      <c r="N14" s="34">
        <f ca="1">IFERROR(__xludf.DUMMYFUNCTION("""COMPUTED_VALUE"""),2028.09949999999)</f>
        <v>2028.09949999999</v>
      </c>
      <c r="O14" s="33">
        <f ca="1">IFERROR(__xludf.DUMMYFUNCTION("""COMPUTED_VALUE"""),1.75)</f>
        <v>1.75</v>
      </c>
      <c r="P14" s="34">
        <f ca="1">IFERROR(__xludf.DUMMYFUNCTION("""COMPUTED_VALUE"""),31959)</f>
        <v>31959</v>
      </c>
      <c r="Q14" s="32">
        <f ca="1">IFERROR(__xludf.DUMMYFUNCTION("""COMPUTED_VALUE"""),57945.7)</f>
        <v>57945.7</v>
      </c>
      <c r="R14" s="32">
        <f ca="1">IFERROR(__xludf.DUMMYFUNCTION("""COMPUTED_VALUE"""),1.81312619293469)</f>
        <v>1.81312619293469</v>
      </c>
      <c r="S14" s="32">
        <f ca="1">IFERROR(__xludf.DUMMYFUNCTION("""COMPUTED_VALUE"""),15.1062429988422)</f>
        <v>15.1062429988422</v>
      </c>
      <c r="T14" s="32">
        <f ca="1">IFERROR(__xludf.DUMMYFUNCTION("""COMPUTED_VALUE"""),13.3317140711536)</f>
        <v>13.3317140711536</v>
      </c>
      <c r="U14" s="32">
        <v>0.5</v>
      </c>
      <c r="V14" s="32">
        <f ca="1">IFERROR(__xludf.DUMMYFUNCTION("""COMPUTED_VALUE"""),7.62973162805868)</f>
        <v>7.6297316280586802</v>
      </c>
      <c r="W14" s="32">
        <f ca="1">IFERROR(__xludf.DUMMYFUNCTION("""COMPUTED_VALUE"""),7.35288813492631)</f>
        <v>7.3528881349263102</v>
      </c>
      <c r="X14" s="38">
        <f ca="1">IFERROR(__xludf.DUMMYFUNCTION("""COMPUTED_VALUE"""),0.276843493132364)</f>
        <v>0.276843493132364</v>
      </c>
      <c r="Y14" s="38">
        <f ca="1">IFERROR(__xludf.DUMMYFUNCTION("""COMPUTED_VALUE"""),0.501952188741827)</f>
        <v>0.50195218874182701</v>
      </c>
      <c r="Z14" s="39">
        <f ca="1">IFERROR(__xludf.DUMMYFUNCTION("""COMPUTED_VALUE"""),220.745523809523)</f>
        <v>220.74552380952301</v>
      </c>
      <c r="AA14" s="40" t="str">
        <f ca="1">IFERROR(__xludf.DUMMYFUNCTION("""COMPUTED_VALUE"""),"VERY BAD")</f>
        <v>VERY BAD</v>
      </c>
    </row>
    <row r="15" spans="1:27" ht="14.25" x14ac:dyDescent="0.2">
      <c r="A15" s="29">
        <v>2022</v>
      </c>
      <c r="B15" s="30" t="s">
        <v>5</v>
      </c>
      <c r="C15" s="31" t="s">
        <v>76</v>
      </c>
      <c r="D15" s="32">
        <v>341768.96000000002</v>
      </c>
      <c r="E15" s="32">
        <v>396587.49</v>
      </c>
      <c r="F15" s="32">
        <f t="shared" si="0"/>
        <v>-54818.52999999997</v>
      </c>
      <c r="G15" s="33" t="str">
        <f ca="1">IFERROR(__xludf.DUMMYFUNCTION("""COMPUTED_VALUE"""),"Kee Sung Agriculture (M) Sdn Bhd")</f>
        <v>Kee Sung Agriculture (M) Sdn Bhd</v>
      </c>
      <c r="H15" s="34">
        <f ca="1">IFERROR(__xludf.DUMMYFUNCTION("""COMPUTED_VALUE"""),33000)</f>
        <v>33000</v>
      </c>
      <c r="I15" s="35">
        <f ca="1">IFERROR(__xludf.DUMMYFUNCTION("""COMPUTED_VALUE"""),2.03)</f>
        <v>2.0299999999999998</v>
      </c>
      <c r="J15" s="34">
        <f ca="1">IFERROR(__xludf.DUMMYFUNCTION("""COMPUTED_VALUE"""),2024)</f>
        <v>2024</v>
      </c>
      <c r="K15" s="36">
        <f ca="1">IFERROR(__xludf.DUMMYFUNCTION("""COMPUTED_VALUE"""),0.0613333333333333)</f>
        <v>6.1333333333333302E-2</v>
      </c>
      <c r="L15" s="36">
        <f ca="1">IFERROR(__xludf.DUMMYFUNCTION("""COMPUTED_VALUE"""),0.938666666666666)</f>
        <v>0.93866666666666598</v>
      </c>
      <c r="M15" s="37">
        <f ca="1">IFERROR(__xludf.DUMMYFUNCTION("""COMPUTED_VALUE"""),35)</f>
        <v>35</v>
      </c>
      <c r="N15" s="34">
        <f ca="1">IFERROR(__xludf.DUMMYFUNCTION("""COMPUTED_VALUE"""),2218.28376)</f>
        <v>2218.2837599999998</v>
      </c>
      <c r="O15" s="33">
        <f ca="1">IFERROR(__xludf.DUMMYFUNCTION("""COMPUTED_VALUE"""),1.61)</f>
        <v>1.61</v>
      </c>
      <c r="P15" s="34">
        <f ca="1">IFERROR(__xludf.DUMMYFUNCTION("""COMPUTED_VALUE"""),30976)</f>
        <v>30976</v>
      </c>
      <c r="Q15" s="32">
        <f ca="1">IFERROR(__xludf.DUMMYFUNCTION("""COMPUTED_VALUE"""),68890.8)</f>
        <v>68890.8</v>
      </c>
      <c r="R15" s="32">
        <f ca="1">IFERROR(__xludf.DUMMYFUNCTION("""COMPUTED_VALUE"""),2.22400568181818)</f>
        <v>2.2240056818181801</v>
      </c>
      <c r="S15" s="32">
        <f ca="1">IFERROR(__xludf.DUMMYFUNCTION("""COMPUTED_VALUE"""),11.033347107438)</f>
        <v>11.033347107438001</v>
      </c>
      <c r="T15" s="38">
        <f ca="1">IFERROR(__xludf.DUMMYFUNCTION("""COMPUTED_VALUE"""),12.8030568827479)</f>
        <v>12.803056882747899</v>
      </c>
      <c r="U15" s="38">
        <f ca="1">IFERROR(__xludf.DUMMYFUNCTION("""COMPUTED_VALUE"""),-1.76970977530991)</f>
        <v>-1.76970977530991</v>
      </c>
      <c r="V15" s="38">
        <f ca="1">IFERROR(__xludf.DUMMYFUNCTION("""COMPUTED_VALUE"""),4.96102469415364)</f>
        <v>4.9610246941536396</v>
      </c>
      <c r="W15" s="38">
        <f ca="1">IFERROR(__xludf.DUMMYFUNCTION("""COMPUTED_VALUE"""),5.7567554738804)</f>
        <v>5.7567554738803999</v>
      </c>
      <c r="X15" s="38">
        <f ca="1">IFERROR(__xludf.DUMMYFUNCTION("""COMPUTED_VALUE"""),-0.795730779726755)</f>
        <v>-0.79573077972675499</v>
      </c>
      <c r="Y15" s="38">
        <f ca="1">IFERROR(__xludf.DUMMYFUNCTION("""COMPUTED_VALUE"""),-1.76970977530991)</f>
        <v>-1.76970977530991</v>
      </c>
      <c r="Z15" s="39">
        <f ca="1">IFERROR(__xludf.DUMMYFUNCTION("""COMPUTED_VALUE"""),324.161490683229)</f>
        <v>324.16149068322898</v>
      </c>
      <c r="AA15" s="40" t="str">
        <f ca="1">IFERROR(__xludf.DUMMYFUNCTION("""COMPUTED_VALUE"""),"VERY BAD")</f>
        <v>VERY BAD</v>
      </c>
    </row>
    <row r="16" spans="1:27" ht="14.25" x14ac:dyDescent="0.2">
      <c r="A16" s="29">
        <v>2022</v>
      </c>
      <c r="B16" s="30" t="s">
        <v>5</v>
      </c>
      <c r="C16" s="31" t="s">
        <v>77</v>
      </c>
      <c r="D16" s="32">
        <v>468358.18</v>
      </c>
      <c r="E16" s="32">
        <v>407561.21</v>
      </c>
      <c r="F16" s="32">
        <f t="shared" si="0"/>
        <v>60796.969999999972</v>
      </c>
      <c r="G16" s="33" t="str">
        <f ca="1">IFERROR(__xludf.DUMMYFUNCTION("""COMPUTED_VALUE"""),"Kee Sung Agriculture (M) Sdn Bhd")</f>
        <v>Kee Sung Agriculture (M) Sdn Bhd</v>
      </c>
      <c r="H16" s="34">
        <f ca="1">IFERROR(__xludf.DUMMYFUNCTION("""COMPUTED_VALUE"""),35600)</f>
        <v>35600</v>
      </c>
      <c r="I16" s="35">
        <f ca="1">IFERROR(__xludf.DUMMYFUNCTION("""COMPUTED_VALUE"""),2.03)</f>
        <v>2.0299999999999998</v>
      </c>
      <c r="J16" s="34">
        <f ca="1">IFERROR(__xludf.DUMMYFUNCTION("""COMPUTED_VALUE"""),1550)</f>
        <v>1550</v>
      </c>
      <c r="K16" s="36">
        <f ca="1">IFERROR(__xludf.DUMMYFUNCTION("""COMPUTED_VALUE"""),0.0435393258426966)</f>
        <v>4.3539325842696597E-2</v>
      </c>
      <c r="L16" s="36">
        <f ca="1">IFERROR(__xludf.DUMMYFUNCTION("""COMPUTED_VALUE"""),0.956460674157303)</f>
        <v>0.95646067415730296</v>
      </c>
      <c r="M16" s="37">
        <f ca="1">IFERROR(__xludf.DUMMYFUNCTION("""COMPUTED_VALUE"""),35)</f>
        <v>35</v>
      </c>
      <c r="N16" s="34">
        <f ca="1">IFERROR(__xludf.DUMMYFUNCTION("""COMPUTED_VALUE"""),2402.48946)</f>
        <v>2402.4894599999998</v>
      </c>
      <c r="O16" s="33">
        <f ca="1">IFERROR(__xludf.DUMMYFUNCTION("""COMPUTED_VALUE"""),1.55)</f>
        <v>1.55</v>
      </c>
      <c r="P16" s="34">
        <f ca="1">IFERROR(__xludf.DUMMYFUNCTION("""COMPUTED_VALUE"""),34050)</f>
        <v>34050</v>
      </c>
      <c r="Q16" s="32">
        <f ca="1">IFERROR(__xludf.DUMMYFUNCTION("""COMPUTED_VALUE"""),77499.66)</f>
        <v>77499.66</v>
      </c>
      <c r="R16" s="32">
        <f ca="1">IFERROR(__xludf.DUMMYFUNCTION("""COMPUTED_VALUE"""),2.27605462555066)</f>
        <v>2.27605462555066</v>
      </c>
      <c r="S16" s="32">
        <f ca="1">IFERROR(__xludf.DUMMYFUNCTION("""COMPUTED_VALUE"""),13.7550126284875)</f>
        <v>13.755012628487499</v>
      </c>
      <c r="T16" s="38">
        <f ca="1">IFERROR(__xludf.DUMMYFUNCTION("""COMPUTED_VALUE"""),11.9694922173274)</f>
        <v>11.969492217327399</v>
      </c>
      <c r="U16" s="38">
        <f ca="1">IFERROR(__xludf.DUMMYFUNCTION("""COMPUTED_VALUE"""),1.78552041116005)</f>
        <v>1.78552041116005</v>
      </c>
      <c r="V16" s="38">
        <f ca="1">IFERROR(__xludf.DUMMYFUNCTION("""COMPUTED_VALUE"""),5.96913018715178)</f>
        <v>5.9691301871517801</v>
      </c>
      <c r="W16" s="38">
        <f ca="1">IFERROR(__xludf.DUMMYFUNCTION("""COMPUTED_VALUE"""),5.25887739378469)</f>
        <v>5.2588773937846902</v>
      </c>
      <c r="X16" s="38">
        <f ca="1">IFERROR(__xludf.DUMMYFUNCTION("""COMPUTED_VALUE"""),0.710252793367092)</f>
        <v>0.71025279336709202</v>
      </c>
      <c r="Y16" s="38">
        <f ca="1">IFERROR(__xludf.DUMMYFUNCTION("""COMPUTED_VALUE"""),1.78552041116005)</f>
        <v>1.78552041116005</v>
      </c>
      <c r="Z16" s="39">
        <f ca="1">IFERROR(__xludf.DUMMYFUNCTION("""COMPUTED_VALUE"""),351.122055092424)</f>
        <v>351.12205509242398</v>
      </c>
      <c r="AA16" s="40" t="str">
        <f ca="1">IFERROR(__xludf.DUMMYFUNCTION("""COMPUTED_VALUE"""),"VERY GOOD")</f>
        <v>VERY GOOD</v>
      </c>
    </row>
    <row r="17" spans="1:27" ht="14.25" x14ac:dyDescent="0.2">
      <c r="A17" s="29">
        <v>2022</v>
      </c>
      <c r="B17" s="30" t="s">
        <v>8</v>
      </c>
      <c r="C17" s="31" t="s">
        <v>72</v>
      </c>
      <c r="D17" s="32">
        <f ca="1">IFERROR(__xludf.DUMMYFUNCTION("TRANSPOSE(IMPORTRANGE(""1OP-qxVLNURBqstk-WZQd8qB2vYxDQLc8s35zWl_CMzo"", ""2022!C12:G12""))"),291722.02)</f>
        <v>291722.02</v>
      </c>
      <c r="E17" s="32">
        <f ca="1">IFERROR(__xludf.DUMMYFUNCTION("TRANSPOSE(IMPORTRANGE(""1OP-qxVLNURBqstk-WZQd8qB2vYxDQLc8s35zWl_CMzo"", ""2022!C41:G41""))"),283962.299999999)</f>
        <v>283962.299999999</v>
      </c>
      <c r="F17" s="32">
        <f t="shared" ca="1" si="0"/>
        <v>7759.7200000010198</v>
      </c>
      <c r="G17" s="34" t="str">
        <f ca="1">IFERROR(__xludf.DUMMYFUNCTION("TRANSPOSE(IMPORTRANGE(""1OP-qxVLNURBqstk-WZQd8qB2vYxDQLc8s35zWl_CMzo"", ""2022!C49:G69""))"),"Kee Sung Agriculture (M) Sdn Bhd")</f>
        <v>Kee Sung Agriculture (M) Sdn Bhd</v>
      </c>
      <c r="H17" s="34">
        <f ca="1">IFERROR(__xludf.DUMMYFUNCTION("""COMPUTED_VALUE"""),28300)</f>
        <v>28300</v>
      </c>
      <c r="I17" s="35">
        <f ca="1">IFERROR(__xludf.DUMMYFUNCTION("""COMPUTED_VALUE"""),1.83)</f>
        <v>1.83</v>
      </c>
      <c r="J17" s="34">
        <f ca="1">IFERROR(__xludf.DUMMYFUNCTION("""COMPUTED_VALUE"""),1408)</f>
        <v>1408</v>
      </c>
      <c r="K17" s="36">
        <f ca="1">IFERROR(__xludf.DUMMYFUNCTION("""COMPUTED_VALUE"""),0.0497526501766784)</f>
        <v>4.9752650176678397E-2</v>
      </c>
      <c r="L17" s="36">
        <f ca="1">IFERROR(__xludf.DUMMYFUNCTION("""COMPUTED_VALUE"""),0.950247349823321)</f>
        <v>0.95024734982332104</v>
      </c>
      <c r="M17" s="37">
        <f ca="1">IFERROR(__xludf.DUMMYFUNCTION("""COMPUTED_VALUE"""),35)</f>
        <v>35</v>
      </c>
      <c r="N17" s="34">
        <f ca="1">IFERROR(__xludf.DUMMYFUNCTION("""COMPUTED_VALUE"""),1891.3968)</f>
        <v>1891.3968</v>
      </c>
      <c r="O17" s="33">
        <f ca="1">IFERROR(__xludf.DUMMYFUNCTION("""COMPUTED_VALUE"""),1.71)</f>
        <v>1.71</v>
      </c>
      <c r="P17" s="34">
        <f ca="1">IFERROR(__xludf.DUMMYFUNCTION("""COMPUTED_VALUE"""),26892)</f>
        <v>26892</v>
      </c>
      <c r="Q17" s="32">
        <f ca="1">IFERROR(__xludf.DUMMYFUNCTION("""COMPUTED_VALUE"""),55304)</f>
        <v>55304</v>
      </c>
      <c r="R17" s="32">
        <f ca="1">IFERROR(__xludf.DUMMYFUNCTION("""COMPUTED_VALUE"""),2.05652238583965)</f>
        <v>2.0565223858396502</v>
      </c>
      <c r="S17" s="32">
        <f ca="1">IFERROR(__xludf.DUMMYFUNCTION("""COMPUTED_VALUE"""),10.8479109028707)</f>
        <v>10.8479109028707</v>
      </c>
      <c r="T17" s="38">
        <f ca="1">IFERROR(__xludf.DUMMYFUNCTION("""COMPUTED_VALUE"""),10.5593596608656)</f>
        <v>10.559359660865599</v>
      </c>
      <c r="U17" s="38">
        <f ca="1">IFERROR(__xludf.DUMMYFUNCTION("""COMPUTED_VALUE"""),0.288551242005059)</f>
        <v>0.28855124200505899</v>
      </c>
      <c r="V17" s="38">
        <f ca="1">IFERROR(__xludf.DUMMYFUNCTION("""COMPUTED_VALUE"""),5.27488102126428)</f>
        <v>5.2748810212642798</v>
      </c>
      <c r="W17" s="38">
        <f ca="1">IFERROR(__xludf.DUMMYFUNCTION("""COMPUTED_VALUE"""),5.13457073629393)</f>
        <v>5.1345707362939299</v>
      </c>
      <c r="X17" s="38">
        <f ca="1">IFERROR(__xludf.DUMMYFUNCTION("""COMPUTED_VALUE"""),0.140310284970347)</f>
        <v>0.140310284970347</v>
      </c>
      <c r="Y17" s="38">
        <f ca="1">IFERROR(__xludf.DUMMYFUNCTION("""COMPUTED_VALUE"""),0.28855124200506)</f>
        <v>0.28855124200505999</v>
      </c>
      <c r="Z17" s="39">
        <f ca="1">IFERROR(__xludf.DUMMYFUNCTION("""COMPUTED_VALUE"""),285.702477631062)</f>
        <v>285.70247763106198</v>
      </c>
      <c r="AA17" s="40" t="str">
        <f ca="1">IFERROR(__xludf.DUMMYFUNCTION("""COMPUTED_VALUE"""),"VERY BAD")</f>
        <v>VERY BAD</v>
      </c>
    </row>
    <row r="18" spans="1:27" ht="14.25" x14ac:dyDescent="0.2">
      <c r="A18" s="29">
        <v>2022</v>
      </c>
      <c r="B18" s="30" t="s">
        <v>8</v>
      </c>
      <c r="C18" s="31" t="s">
        <v>73</v>
      </c>
      <c r="D18" s="32">
        <f ca="1">IFERROR(__xludf.DUMMYFUNCTION("""COMPUTED_VALUE"""),319701.07)</f>
        <v>319701.07</v>
      </c>
      <c r="E18" s="32">
        <f ca="1">IFERROR(__xludf.DUMMYFUNCTION("""COMPUTED_VALUE"""),298085.95)</f>
        <v>298085.95</v>
      </c>
      <c r="F18" s="32">
        <f t="shared" ca="1" si="0"/>
        <v>21615.119999999995</v>
      </c>
      <c r="G18" s="34" t="str">
        <f ca="1">IFERROR(__xludf.DUMMYFUNCTION("""COMPUTED_VALUE"""),"Kee Sung Agriculture (M) Sdn Bhd")</f>
        <v>Kee Sung Agriculture (M) Sdn Bhd</v>
      </c>
      <c r="H18" s="34">
        <f ca="1">IFERROR(__xludf.DUMMYFUNCTION("""COMPUTED_VALUE"""),29200)</f>
        <v>29200</v>
      </c>
      <c r="I18" s="35">
        <f ca="1">IFERROR(__xludf.DUMMYFUNCTION("""COMPUTED_VALUE"""),1.83)</f>
        <v>1.83</v>
      </c>
      <c r="J18" s="34">
        <f ca="1">IFERROR(__xludf.DUMMYFUNCTION("""COMPUTED_VALUE"""),1558)</f>
        <v>1558</v>
      </c>
      <c r="K18" s="36">
        <f ca="1">IFERROR(__xludf.DUMMYFUNCTION("""COMPUTED_VALUE"""),0.0533561643835616)</f>
        <v>5.3356164383561597E-2</v>
      </c>
      <c r="L18" s="36">
        <f ca="1">IFERROR(__xludf.DUMMYFUNCTION("""COMPUTED_VALUE"""),0.946643835616438)</f>
        <v>0.94664383561643795</v>
      </c>
      <c r="M18" s="37">
        <f ca="1">IFERROR(__xludf.DUMMYFUNCTION("""COMPUTED_VALUE"""),35)</f>
        <v>35</v>
      </c>
      <c r="N18" s="34">
        <f ca="1">IFERROR(__xludf.DUMMYFUNCTION("""COMPUTED_VALUE"""),1965)</f>
        <v>1965</v>
      </c>
      <c r="O18" s="33">
        <f ca="1">IFERROR(__xludf.DUMMYFUNCTION("""COMPUTED_VALUE"""),1.61)</f>
        <v>1.61</v>
      </c>
      <c r="P18" s="34">
        <f ca="1">IFERROR(__xludf.DUMMYFUNCTION("""COMPUTED_VALUE"""),27642)</f>
        <v>27642</v>
      </c>
      <c r="Q18" s="32">
        <f ca="1">IFERROR(__xludf.DUMMYFUNCTION("""COMPUTED_VALUE"""),60864.96)</f>
        <v>60864.959999999999</v>
      </c>
      <c r="R18" s="32">
        <f ca="1">IFERROR(__xludf.DUMMYFUNCTION("""COMPUTED_VALUE"""),2.2)</f>
        <v>2.2000000000000002</v>
      </c>
      <c r="S18" s="32">
        <f ca="1">IFERROR(__xludf.DUMMYFUNCTION("""COMPUTED_VALUE"""),11.5657720136024)</f>
        <v>11.5657720136024</v>
      </c>
      <c r="T18" s="38">
        <f ca="1">IFERROR(__xludf.DUMMYFUNCTION("""COMPUTED_VALUE"""),10.7838054409955)</f>
        <v>10.783805440995501</v>
      </c>
      <c r="U18" s="38">
        <f ca="1">IFERROR(__xludf.DUMMYFUNCTION("""COMPUTED_VALUE"""),0.781966572606901)</f>
        <v>0.78196657260690094</v>
      </c>
      <c r="V18" s="38">
        <f ca="1">IFERROR(__xludf.DUMMYFUNCTION("""COMPUTED_VALUE"""),5.25262926320825)</f>
        <v>5.2526292632082496</v>
      </c>
      <c r="W18" s="38">
        <f ca="1">IFERROR(__xludf.DUMMYFUNCTION("""COMPUTED_VALUE"""),4.89749685204754)</f>
        <v>4.8974968520475404</v>
      </c>
      <c r="X18" s="38">
        <f ca="1">IFERROR(__xludf.DUMMYFUNCTION("""COMPUTED_VALUE"""),0.355132411160707)</f>
        <v>0.35513241116070698</v>
      </c>
      <c r="Y18" s="38">
        <f ca="1">IFERROR(__xludf.DUMMYFUNCTION("""COMPUTED_VALUE"""),0.781966572606902)</f>
        <v>0.78196657260690206</v>
      </c>
      <c r="Z18" s="39">
        <f ca="1">IFERROR(__xludf.DUMMYFUNCTION("""COMPUTED_VALUE"""),323.387645707478)</f>
        <v>323.38764570747799</v>
      </c>
      <c r="AA18" s="40" t="str">
        <f ca="1">IFERROR(__xludf.DUMMYFUNCTION("""COMPUTED_VALUE"""),"JUST AVERAGE")</f>
        <v>JUST AVERAGE</v>
      </c>
    </row>
    <row r="19" spans="1:27" ht="14.25" x14ac:dyDescent="0.2">
      <c r="A19" s="29">
        <v>2022</v>
      </c>
      <c r="B19" s="30" t="s">
        <v>8</v>
      </c>
      <c r="C19" s="31" t="s">
        <v>74</v>
      </c>
      <c r="D19" s="32">
        <f ca="1">IFERROR(__xludf.DUMMYFUNCTION("""COMPUTED_VALUE"""),418665.73)</f>
        <v>418665.73</v>
      </c>
      <c r="E19" s="32">
        <f ca="1">IFERROR(__xludf.DUMMYFUNCTION("""COMPUTED_VALUE"""),378282.29)</f>
        <v>378282.29</v>
      </c>
      <c r="F19" s="32">
        <f t="shared" ca="1" si="0"/>
        <v>40383.440000000002</v>
      </c>
      <c r="G19" s="34" t="str">
        <f ca="1">IFERROR(__xludf.DUMMYFUNCTION("""COMPUTED_VALUE"""),"Chop Cheong Bee Sdn Bhd")</f>
        <v>Chop Cheong Bee Sdn Bhd</v>
      </c>
      <c r="H19" s="34">
        <f ca="1">IFERROR(__xludf.DUMMYFUNCTION("""COMPUTED_VALUE"""),29200)</f>
        <v>29200</v>
      </c>
      <c r="I19" s="35">
        <f ca="1">IFERROR(__xludf.DUMMYFUNCTION("""COMPUTED_VALUE"""),2.03)</f>
        <v>2.0299999999999998</v>
      </c>
      <c r="J19" s="34">
        <f ca="1">IFERROR(__xludf.DUMMYFUNCTION("""COMPUTED_VALUE"""),1570)</f>
        <v>1570</v>
      </c>
      <c r="K19" s="36">
        <f ca="1">IFERROR(__xludf.DUMMYFUNCTION("""COMPUTED_VALUE"""),0.0537671232876712)</f>
        <v>5.3767123287671199E-2</v>
      </c>
      <c r="L19" s="36">
        <f ca="1">IFERROR(__xludf.DUMMYFUNCTION("""COMPUTED_VALUE"""),0.946232876712328)</f>
        <v>0.94623287671232803</v>
      </c>
      <c r="M19" s="37">
        <f ca="1">IFERROR(__xludf.DUMMYFUNCTION("""COMPUTED_VALUE"""),35)</f>
        <v>35</v>
      </c>
      <c r="N19" s="34">
        <f ca="1">IFERROR(__xludf.DUMMYFUNCTION("""COMPUTED_VALUE"""),2118)</f>
        <v>2118</v>
      </c>
      <c r="O19" s="35">
        <f ca="1">IFERROR(__xludf.DUMMYFUNCTION("""COMPUTED_VALUE"""),1.6)</f>
        <v>1.6</v>
      </c>
      <c r="P19" s="34">
        <f ca="1">IFERROR(__xludf.DUMMYFUNCTION("""COMPUTED_VALUE"""),27630)</f>
        <v>27630</v>
      </c>
      <c r="Q19" s="32">
        <f ca="1">IFERROR(__xludf.DUMMYFUNCTION("""COMPUTED_VALUE"""),66049.08)</f>
        <v>66049.08</v>
      </c>
      <c r="R19" s="32">
        <f ca="1">IFERROR(__xludf.DUMMYFUNCTION("""COMPUTED_VALUE"""),2.39048425624321)</f>
        <v>2.39048425624321</v>
      </c>
      <c r="S19" s="32">
        <f ca="1">IFERROR(__xludf.DUMMYFUNCTION("""COMPUTED_VALUE"""),15.152577994933)</f>
        <v>15.152577994933001</v>
      </c>
      <c r="T19" s="38">
        <f ca="1">IFERROR(__xludf.DUMMYFUNCTION("""COMPUTED_VALUE"""),13.6909985522982)</f>
        <v>13.690998552298201</v>
      </c>
      <c r="U19" s="38">
        <f ca="1">IFERROR(__xludf.DUMMYFUNCTION("""COMPUTED_VALUE"""),1.46157944263481)</f>
        <v>1.4615794426348101</v>
      </c>
      <c r="V19" s="38">
        <f ca="1">IFERROR(__xludf.DUMMYFUNCTION("""COMPUTED_VALUE"""),6.15414673451923)</f>
        <v>6.1541467345192302</v>
      </c>
      <c r="W19" s="38">
        <f ca="1">IFERROR(__xludf.DUMMYFUNCTION("""COMPUTED_VALUE"""),5.72729082676094)</f>
        <v>5.7272908267609397</v>
      </c>
      <c r="X19" s="38">
        <f ca="1">IFERROR(__xludf.DUMMYFUNCTION("""COMPUTED_VALUE"""),0.42685590775829)</f>
        <v>0.42685590775829002</v>
      </c>
      <c r="Y19" s="38">
        <f ca="1">IFERROR(__xludf.DUMMYFUNCTION("""COMPUTED_VALUE"""),1.46157944263481)</f>
        <v>1.4615794426348101</v>
      </c>
      <c r="Z19" s="39">
        <f ca="1">IFERROR(__xludf.DUMMYFUNCTION("""COMPUTED_VALUE"""),353.430436643835)</f>
        <v>353.43043664383498</v>
      </c>
      <c r="AA19" s="40" t="str">
        <f ca="1">IFERROR(__xludf.DUMMYFUNCTION("""COMPUTED_VALUE"""),"VERY GOOD")</f>
        <v>VERY GOOD</v>
      </c>
    </row>
    <row r="20" spans="1:27" ht="14.25" x14ac:dyDescent="0.2">
      <c r="A20" s="29">
        <v>2022</v>
      </c>
      <c r="B20" s="30" t="s">
        <v>8</v>
      </c>
      <c r="C20" s="31" t="s">
        <v>75</v>
      </c>
      <c r="D20" s="32">
        <f ca="1">IFERROR(__xludf.DUMMYFUNCTION("""COMPUTED_VALUE"""),367791.55)</f>
        <v>367791.55</v>
      </c>
      <c r="E20" s="32">
        <f ca="1">IFERROR(__xludf.DUMMYFUNCTION("""COMPUTED_VALUE"""),346213.6)</f>
        <v>346213.6</v>
      </c>
      <c r="F20" s="32">
        <f t="shared" ca="1" si="0"/>
        <v>21577.950000000012</v>
      </c>
      <c r="G20" s="34" t="str">
        <f ca="1">IFERROR(__xludf.DUMMYFUNCTION("""COMPUTED_VALUE"""),"Chop Cheong Bee Sdn Bhd")</f>
        <v>Chop Cheong Bee Sdn Bhd</v>
      </c>
      <c r="H20" s="34">
        <f ca="1">IFERROR(__xludf.DUMMYFUNCTION("""COMPUTED_VALUE"""),29200)</f>
        <v>29200</v>
      </c>
      <c r="I20" s="35">
        <f ca="1">IFERROR(__xludf.DUMMYFUNCTION("""COMPUTED_VALUE"""),2.03)</f>
        <v>2.0299999999999998</v>
      </c>
      <c r="J20" s="34">
        <f ca="1">IFERROR(__xludf.DUMMYFUNCTION("""COMPUTED_VALUE"""),1766)</f>
        <v>1766</v>
      </c>
      <c r="K20" s="36">
        <f ca="1">IFERROR(__xludf.DUMMYFUNCTION("""COMPUTED_VALUE"""),0.0604794520547945)</f>
        <v>6.0479452054794498E-2</v>
      </c>
      <c r="L20" s="36">
        <f ca="1">IFERROR(__xludf.DUMMYFUNCTION("""COMPUTED_VALUE"""),0.939520547945205)</f>
        <v>0.93952054794520501</v>
      </c>
      <c r="M20" s="37">
        <f ca="1">IFERROR(__xludf.DUMMYFUNCTION("""COMPUTED_VALUE"""),35)</f>
        <v>35</v>
      </c>
      <c r="N20" s="34">
        <f ca="1">IFERROR(__xludf.DUMMYFUNCTION("""COMPUTED_VALUE"""),2057)</f>
        <v>2057</v>
      </c>
      <c r="O20" s="33">
        <f ca="1">IFERROR(__xludf.DUMMYFUNCTION("""COMPUTED_VALUE"""),1.72)</f>
        <v>1.72</v>
      </c>
      <c r="P20" s="34">
        <f ca="1">IFERROR(__xludf.DUMMYFUNCTION("""COMPUTED_VALUE"""),27434)</f>
        <v>27434</v>
      </c>
      <c r="Q20" s="32">
        <f ca="1">IFERROR(__xludf.DUMMYFUNCTION("""COMPUTED_VALUE"""),59639.58)</f>
        <v>59639.58</v>
      </c>
      <c r="R20" s="32">
        <f ca="1">IFERROR(__xludf.DUMMYFUNCTION("""COMPUTED_VALUE"""),2.17392943063352)</f>
        <v>2.1739294306335202</v>
      </c>
      <c r="S20" s="32">
        <f ca="1">IFERROR(__xludf.DUMMYFUNCTION("""COMPUTED_VALUE"""),13.4064135743967)</f>
        <v>13.4064135743967</v>
      </c>
      <c r="T20" s="38">
        <f ca="1">IFERROR(__xludf.DUMMYFUNCTION("""COMPUTED_VALUE"""),12.6198731501057)</f>
        <v>12.6198731501057</v>
      </c>
      <c r="U20" s="38">
        <f ca="1">IFERROR(__xludf.DUMMYFUNCTION("""COMPUTED_VALUE"""),0.786540424291025)</f>
        <v>0.786540424291025</v>
      </c>
      <c r="V20" s="38">
        <f ca="1">IFERROR(__xludf.DUMMYFUNCTION("""COMPUTED_VALUE"""),6.16690375753819)</f>
        <v>6.16690375753819</v>
      </c>
      <c r="W20" s="38">
        <f ca="1">IFERROR(__xludf.DUMMYFUNCTION("""COMPUTED_VALUE"""),5.80509788969003)</f>
        <v>5.80509788969003</v>
      </c>
      <c r="X20" s="38">
        <f ca="1">IFERROR(__xludf.DUMMYFUNCTION("""COMPUTED_VALUE"""),0.361805867848163)</f>
        <v>0.36180586784816299</v>
      </c>
      <c r="Y20" s="38">
        <f ca="1">IFERROR(__xludf.DUMMYFUNCTION("""COMPUTED_VALUE"""),0.786540424291026)</f>
        <v>0.786540424291026</v>
      </c>
      <c r="Z20" s="39">
        <f ca="1">IFERROR(__xludf.DUMMYFUNCTION("""COMPUTED_VALUE"""),296.867931666135)</f>
        <v>296.86793166613501</v>
      </c>
      <c r="AA20" s="40" t="str">
        <f ca="1">IFERROR(__xludf.DUMMYFUNCTION("""COMPUTED_VALUE"""),"JUST AVERAGE")</f>
        <v>JUST AVERAGE</v>
      </c>
    </row>
    <row r="21" spans="1:27" ht="14.25" x14ac:dyDescent="0.2">
      <c r="A21" s="29">
        <v>2022</v>
      </c>
      <c r="B21" s="30" t="s">
        <v>8</v>
      </c>
      <c r="C21" s="31" t="s">
        <v>76</v>
      </c>
      <c r="D21" s="32">
        <f ca="1">IFERROR(__xludf.DUMMYFUNCTION("""COMPUTED_VALUE"""),447511.4)</f>
        <v>447511.4</v>
      </c>
      <c r="E21" s="32">
        <f ca="1">IFERROR(__xludf.DUMMYFUNCTION("""COMPUTED_VALUE"""),403384.81)</f>
        <v>403384.81</v>
      </c>
      <c r="F21" s="32">
        <f t="shared" ca="1" si="0"/>
        <v>44126.590000000026</v>
      </c>
      <c r="G21" s="34" t="str">
        <f ca="1">IFERROR(__xludf.DUMMYFUNCTION("""COMPUTED_VALUE"""),"Chop Cheong Bee Sdn Bhd")</f>
        <v>Chop Cheong Bee Sdn Bhd</v>
      </c>
      <c r="H21" s="34">
        <f ca="1">IFERROR(__xludf.DUMMYFUNCTION("""COMPUTED_VALUE"""),29000)</f>
        <v>29000</v>
      </c>
      <c r="I21" s="35">
        <f ca="1">IFERROR(__xludf.DUMMYFUNCTION("""COMPUTED_VALUE"""),2)</f>
        <v>2</v>
      </c>
      <c r="J21" s="34">
        <f ca="1">IFERROR(__xludf.DUMMYFUNCTION("""COMPUTED_VALUE"""),1416)</f>
        <v>1416</v>
      </c>
      <c r="K21" s="36">
        <f ca="1">IFERROR(__xludf.DUMMYFUNCTION("""COMPUTED_VALUE"""),0.0488275862068965)</f>
        <v>4.8827586206896499E-2</v>
      </c>
      <c r="L21" s="36">
        <f ca="1">IFERROR(__xludf.DUMMYFUNCTION("""COMPUTED_VALUE"""),0.951172413793103)</f>
        <v>0.95117241379310302</v>
      </c>
      <c r="M21" s="37">
        <f ca="1">IFERROR(__xludf.DUMMYFUNCTION("""COMPUTED_VALUE"""),35)</f>
        <v>35</v>
      </c>
      <c r="N21" s="34">
        <f ca="1">IFERROR(__xludf.DUMMYFUNCTION("""COMPUTED_VALUE"""),2010)</f>
        <v>2010</v>
      </c>
      <c r="O21" s="33">
        <f ca="1">IFERROR(__xludf.DUMMYFUNCTION("""COMPUTED_VALUE"""),1.56)</f>
        <v>1.56</v>
      </c>
      <c r="P21" s="34">
        <f ca="1">IFERROR(__xludf.DUMMYFUNCTION("""COMPUTED_VALUE"""),27584)</f>
        <v>27584</v>
      </c>
      <c r="Q21" s="32">
        <f ca="1">IFERROR(__xludf.DUMMYFUNCTION("""COMPUTED_VALUE"""),64219.42)</f>
        <v>64219.42</v>
      </c>
      <c r="R21" s="32">
        <f ca="1">IFERROR(__xludf.DUMMYFUNCTION("""COMPUTED_VALUE"""),2.32814022621809)</f>
        <v>2.3281402262180899</v>
      </c>
      <c r="S21" s="32">
        <f ca="1">IFERROR(__xludf.DUMMYFUNCTION("""COMPUTED_VALUE"""),16.2235861368909)</f>
        <v>16.223586136890901</v>
      </c>
      <c r="T21" s="38">
        <f ca="1">IFERROR(__xludf.DUMMYFUNCTION("""COMPUTED_VALUE"""),14.6238692720417)</f>
        <v>14.6238692720417</v>
      </c>
      <c r="U21" s="38">
        <f ca="1">IFERROR(__xludf.DUMMYFUNCTION("""COMPUTED_VALUE"""),1.59971686484918)</f>
        <v>1.59971686484918</v>
      </c>
      <c r="V21" s="38">
        <f ca="1">IFERROR(__xludf.DUMMYFUNCTION("""COMPUTED_VALUE"""),6.19022096431266)</f>
        <v>6.19022096431266</v>
      </c>
      <c r="W21" s="38">
        <f ca="1">IFERROR(__xludf.DUMMYFUNCTION("""COMPUTED_VALUE"""),6.28135243202134)</f>
        <v>6.2813524320213396</v>
      </c>
      <c r="X21" s="38">
        <f ca="1">IFERROR(__xludf.DUMMYFUNCTION("""COMPUTED_VALUE"""),-0.0911314677086778)</f>
        <v>-9.1131467708677805E-2</v>
      </c>
      <c r="Y21" s="38">
        <f ca="1">IFERROR(__xludf.DUMMYFUNCTION("""COMPUTED_VALUE"""),1.59971686484918)</f>
        <v>1.59971686484918</v>
      </c>
      <c r="Z21" s="39">
        <f ca="1">IFERROR(__xludf.DUMMYFUNCTION("""COMPUTED_VALUE"""),354.881852343059)</f>
        <v>354.88185234305899</v>
      </c>
      <c r="AA21" s="40" t="str">
        <f ca="1">IFERROR(__xludf.DUMMYFUNCTION("""COMPUTED_VALUE"""),"VERY GOOD")</f>
        <v>VERY GOOD</v>
      </c>
    </row>
    <row r="22" spans="1:27" ht="14.25" x14ac:dyDescent="0.2">
      <c r="A22" s="41">
        <v>2023</v>
      </c>
      <c r="B22" s="42" t="s">
        <v>5</v>
      </c>
      <c r="C22" s="43" t="s">
        <v>78</v>
      </c>
      <c r="D22" s="44">
        <v>329946.46000000002</v>
      </c>
      <c r="E22" s="44">
        <v>320721.59000000003</v>
      </c>
      <c r="F22" s="44">
        <f t="shared" si="0"/>
        <v>9224.8699999999953</v>
      </c>
      <c r="G22" s="45" t="str">
        <f ca="1">IFERROR(__xludf.DUMMYFUNCTION("TRANSPOSE(IMPORTRANGE(""1o4Ac6NI0SfLibsumFt9f9lHwJFVrF2ykccRsQvuxGAI"", ""2023!C49:G69""))"),"Kee Sung Agriculture (M) Sdn Bhd")</f>
        <v>Kee Sung Agriculture (M) Sdn Bhd</v>
      </c>
      <c r="H22" s="46">
        <f ca="1">IFERROR(__xludf.DUMMYFUNCTION("""COMPUTED_VALUE"""),26300)</f>
        <v>26300</v>
      </c>
      <c r="I22" s="47">
        <f ca="1">IFERROR(__xludf.DUMMYFUNCTION("""COMPUTED_VALUE"""),2.03)</f>
        <v>2.0299999999999998</v>
      </c>
      <c r="J22" s="46">
        <f ca="1">IFERROR(__xludf.DUMMYFUNCTION("""COMPUTED_VALUE"""),1526)</f>
        <v>1526</v>
      </c>
      <c r="K22" s="48">
        <f ca="1">IFERROR(__xludf.DUMMYFUNCTION("""COMPUTED_VALUE"""),0.0580228136882129)</f>
        <v>5.8022813688212903E-2</v>
      </c>
      <c r="L22" s="48">
        <f ca="1">IFERROR(__xludf.DUMMYFUNCTION("""COMPUTED_VALUE"""),0.941977186311787)</f>
        <v>0.94197718631178695</v>
      </c>
      <c r="M22" s="49">
        <f ca="1">IFERROR(__xludf.DUMMYFUNCTION("""COMPUTED_VALUE"""),35)</f>
        <v>35</v>
      </c>
      <c r="N22" s="46">
        <f ca="1">IFERROR(__xludf.DUMMYFUNCTION("""COMPUTED_VALUE"""),1757.932454)</f>
        <v>1757.932454</v>
      </c>
      <c r="O22" s="45">
        <f ca="1">IFERROR(__xludf.DUMMYFUNCTION("""COMPUTED_VALUE"""),1.57)</f>
        <v>1.57</v>
      </c>
      <c r="P22" s="46">
        <f ca="1">IFERROR(__xludf.DUMMYFUNCTION("""COMPUTED_VALUE"""),24774)</f>
        <v>24774</v>
      </c>
      <c r="Q22" s="44">
        <f ca="1">IFERROR(__xludf.DUMMYFUNCTION("""COMPUTED_VALUE"""),55985.11)</f>
        <v>55985.11</v>
      </c>
      <c r="R22" s="44">
        <f ca="1">IFERROR(__xludf.DUMMYFUNCTION("""COMPUTED_VALUE"""),2.25983329296843)</f>
        <v>2.2598332929684299</v>
      </c>
      <c r="S22" s="44">
        <f ca="1">IFERROR(__xludf.DUMMYFUNCTION("""COMPUTED_VALUE"""),13.3182554290788)</f>
        <v>13.3182554290788</v>
      </c>
      <c r="T22" s="50">
        <f ca="1">IFERROR(__xludf.DUMMYFUNCTION("""COMPUTED_VALUE"""),12.9458944861548)</f>
        <v>12.945894486154801</v>
      </c>
      <c r="U22" s="50">
        <f ca="1">IFERROR(__xludf.DUMMYFUNCTION("""COMPUTED_VALUE"""),0.372360942924036)</f>
        <v>0.37236094292403599</v>
      </c>
      <c r="V22" s="50">
        <f ca="1">IFERROR(__xludf.DUMMYFUNCTION("""COMPUTED_VALUE"""),5.89346810250082)</f>
        <v>5.8934681025008198</v>
      </c>
      <c r="W22" s="50">
        <f ca="1">IFERROR(__xludf.DUMMYFUNCTION("""COMPUTED_VALUE"""),5.72869446894004)</f>
        <v>5.7286944689400396</v>
      </c>
      <c r="X22" s="50">
        <f ca="1">IFERROR(__xludf.DUMMYFUNCTION("""COMPUTED_VALUE"""),0.164773633560781)</f>
        <v>0.16477363356078101</v>
      </c>
      <c r="Y22" s="50">
        <f ca="1">IFERROR(__xludf.DUMMYFUNCTION("""COMPUTED_VALUE"""),0.372360942924035)</f>
        <v>0.37236094292403499</v>
      </c>
      <c r="Z22" s="51">
        <f ca="1">IFERROR(__xludf.DUMMYFUNCTION("""COMPUTED_VALUE"""),387.390610890647)</f>
        <v>387.390610890647</v>
      </c>
      <c r="AA22" s="52" t="str">
        <f ca="1">IFERROR(__xludf.DUMMYFUNCTION("""COMPUTED_VALUE"""),"VERY BAD")</f>
        <v>VERY BAD</v>
      </c>
    </row>
    <row r="23" spans="1:27" ht="14.25" x14ac:dyDescent="0.2">
      <c r="A23" s="41">
        <v>2023</v>
      </c>
      <c r="B23" s="42" t="s">
        <v>5</v>
      </c>
      <c r="C23" s="43" t="s">
        <v>79</v>
      </c>
      <c r="D23" s="44">
        <v>435127.06</v>
      </c>
      <c r="E23" s="44">
        <v>432078.02</v>
      </c>
      <c r="F23" s="44">
        <f t="shared" si="0"/>
        <v>3049.039999999979</v>
      </c>
      <c r="G23" s="45" t="str">
        <f ca="1">IFERROR(__xludf.DUMMYFUNCTION("""COMPUTED_VALUE"""),"Kee Sung Agriculture (M) Sdn Bhd")</f>
        <v>Kee Sung Agriculture (M) Sdn Bhd</v>
      </c>
      <c r="H23" s="46">
        <f ca="1">IFERROR(__xludf.DUMMYFUNCTION("""COMPUTED_VALUE"""),36400)</f>
        <v>36400</v>
      </c>
      <c r="I23" s="47">
        <f ca="1">IFERROR(__xludf.DUMMYFUNCTION("""COMPUTED_VALUE"""),2.03)</f>
        <v>2.0299999999999998</v>
      </c>
      <c r="J23" s="46">
        <f ca="1">IFERROR(__xludf.DUMMYFUNCTION("""COMPUTED_VALUE"""),2305)</f>
        <v>2305</v>
      </c>
      <c r="K23" s="48">
        <f ca="1">IFERROR(__xludf.DUMMYFUNCTION("""COMPUTED_VALUE"""),0.0633241758241758)</f>
        <v>6.3324175824175793E-2</v>
      </c>
      <c r="L23" s="48">
        <f ca="1">IFERROR(__xludf.DUMMYFUNCTION("""COMPUTED_VALUE"""),0.936675824175824)</f>
        <v>0.93667582417582396</v>
      </c>
      <c r="M23" s="49">
        <f ca="1">IFERROR(__xludf.DUMMYFUNCTION("""COMPUTED_VALUE"""),35)</f>
        <v>35</v>
      </c>
      <c r="N23" s="46">
        <f ca="1">IFERROR(__xludf.DUMMYFUNCTION("""COMPUTED_VALUE"""),2365.8804)</f>
        <v>2365.8804</v>
      </c>
      <c r="O23" s="45">
        <f ca="1">IFERROR(__xludf.DUMMYFUNCTION("""COMPUTED_VALUE"""),1.64)</f>
        <v>1.64</v>
      </c>
      <c r="P23" s="46">
        <f ca="1">IFERROR(__xludf.DUMMYFUNCTION("""COMPUTED_VALUE"""),34095)</f>
        <v>34095</v>
      </c>
      <c r="Q23" s="44">
        <f ca="1">IFERROR(__xludf.DUMMYFUNCTION("""COMPUTED_VALUE"""),72130.5)</f>
        <v>72130.5</v>
      </c>
      <c r="R23" s="44">
        <f ca="1">IFERROR(__xludf.DUMMYFUNCTION("""COMPUTED_VALUE"""),2.11557413110426)</f>
        <v>2.11557413110426</v>
      </c>
      <c r="S23" s="44">
        <f ca="1">IFERROR(__xludf.DUMMYFUNCTION("""COMPUTED_VALUE"""),12.7621956298577)</f>
        <v>12.7621956298577</v>
      </c>
      <c r="T23" s="50">
        <f ca="1">IFERROR(__xludf.DUMMYFUNCTION("""COMPUTED_VALUE"""),12.6727678545241)</f>
        <v>12.6727678545241</v>
      </c>
      <c r="U23" s="50">
        <f ca="1">IFERROR(__xludf.DUMMYFUNCTION("""COMPUTED_VALUE"""),0.0894277753336236)</f>
        <v>8.9427775333623602E-2</v>
      </c>
      <c r="V23" s="50">
        <f ca="1">IFERROR(__xludf.DUMMYFUNCTION("""COMPUTED_VALUE"""),5.94752649711287)</f>
        <v>5.9475264971128698</v>
      </c>
      <c r="W23" s="50">
        <f ca="1">IFERROR(__xludf.DUMMYFUNCTION("""COMPUTED_VALUE"""),5.99022632589542)</f>
        <v>5.9902263258954198</v>
      </c>
      <c r="X23" s="50">
        <f ca="1">IFERROR(__xludf.DUMMYFUNCTION("""COMPUTED_VALUE"""),-0.0426998287825552)</f>
        <v>-4.2699828782555203E-2</v>
      </c>
      <c r="Y23" s="50">
        <f ca="1">IFERROR(__xludf.DUMMYFUNCTION("""COMPUTED_VALUE"""),0.0894277753336243)</f>
        <v>8.9427775333624296E-2</v>
      </c>
      <c r="Z23" s="51">
        <f ca="1">IFERROR(__xludf.DUMMYFUNCTION("""COMPUTED_VALUE"""),345.227725236436)</f>
        <v>345.22772523643602</v>
      </c>
      <c r="AA23" s="52" t="str">
        <f ca="1">IFERROR(__xludf.DUMMYFUNCTION("""COMPUTED_VALUE"""),"VERY BAD")</f>
        <v>VERY BAD</v>
      </c>
    </row>
    <row r="24" spans="1:27" ht="14.25" x14ac:dyDescent="0.2">
      <c r="A24" s="41">
        <v>2023</v>
      </c>
      <c r="B24" s="42" t="s">
        <v>5</v>
      </c>
      <c r="C24" s="43" t="s">
        <v>80</v>
      </c>
      <c r="D24" s="44">
        <v>418133.25</v>
      </c>
      <c r="E24" s="44">
        <v>406907.61</v>
      </c>
      <c r="F24" s="44">
        <f t="shared" si="0"/>
        <v>11225.640000000014</v>
      </c>
      <c r="G24" s="45" t="str">
        <f ca="1">IFERROR(__xludf.DUMMYFUNCTION("""COMPUTED_VALUE"""),"Kee Sung Agriculture (M) Sdn Bhd")</f>
        <v>Kee Sung Agriculture (M) Sdn Bhd</v>
      </c>
      <c r="H24" s="46">
        <f ca="1">IFERROR(__xludf.DUMMYFUNCTION("""COMPUTED_VALUE"""),35000)</f>
        <v>35000</v>
      </c>
      <c r="I24" s="47">
        <f ca="1">IFERROR(__xludf.DUMMYFUNCTION("""COMPUTED_VALUE"""),2.03)</f>
        <v>2.0299999999999998</v>
      </c>
      <c r="J24" s="46">
        <f ca="1">IFERROR(__xludf.DUMMYFUNCTION("""COMPUTED_VALUE"""),2415)</f>
        <v>2415</v>
      </c>
      <c r="K24" s="48">
        <f ca="1">IFERROR(__xludf.DUMMYFUNCTION("""COMPUTED_VALUE"""),0.069)</f>
        <v>6.9000000000000006E-2</v>
      </c>
      <c r="L24" s="48">
        <f ca="1">IFERROR(__xludf.DUMMYFUNCTION("""COMPUTED_VALUE"""),0.931)</f>
        <v>0.93100000000000005</v>
      </c>
      <c r="M24" s="49">
        <f ca="1">IFERROR(__xludf.DUMMYFUNCTION("""COMPUTED_VALUE"""),35)</f>
        <v>35</v>
      </c>
      <c r="N24" s="46">
        <f ca="1">IFERROR(__xludf.DUMMYFUNCTION("""COMPUTED_VALUE"""),2294.32665)</f>
        <v>2294.32665</v>
      </c>
      <c r="O24" s="45">
        <f ca="1">IFERROR(__xludf.DUMMYFUNCTION("""COMPUTED_VALUE"""),1.65)</f>
        <v>1.65</v>
      </c>
      <c r="P24" s="46">
        <f ca="1">IFERROR(__xludf.DUMMYFUNCTION("""COMPUTED_VALUE"""),32585)</f>
        <v>32585</v>
      </c>
      <c r="Q24" s="44">
        <f ca="1">IFERROR(__xludf.DUMMYFUNCTION("""COMPUTED_VALUE"""),69525.05)</f>
        <v>69525.05</v>
      </c>
      <c r="R24" s="44">
        <f ca="1">IFERROR(__xludf.DUMMYFUNCTION("""COMPUTED_VALUE"""),2.13365198711063)</f>
        <v>2.1336519871106301</v>
      </c>
      <c r="S24" s="44">
        <f ca="1">IFERROR(__xludf.DUMMYFUNCTION("""COMPUTED_VALUE"""),12.8320776430873)</f>
        <v>12.832077643087301</v>
      </c>
      <c r="T24" s="50">
        <f ca="1">IFERROR(__xludf.DUMMYFUNCTION("""COMPUTED_VALUE"""),12.4875743440233)</f>
        <v>12.487574344023299</v>
      </c>
      <c r="U24" s="50">
        <f ca="1">IFERROR(__xludf.DUMMYFUNCTION("""COMPUTED_VALUE"""),0.344503299063985)</f>
        <v>0.34450329906398502</v>
      </c>
      <c r="V24" s="50">
        <f ca="1">IFERROR(__xludf.DUMMYFUNCTION("""COMPUTED_VALUE"""),5.95000118662266)</f>
        <v>5.9500011866226599</v>
      </c>
      <c r="W24" s="50">
        <f ca="1">IFERROR(__xludf.DUMMYFUNCTION("""COMPUTED_VALUE"""),5.85267626560498)</f>
        <v>5.8526762656049804</v>
      </c>
      <c r="X24" s="50">
        <f ca="1">IFERROR(__xludf.DUMMYFUNCTION("""COMPUTED_VALUE"""),0.0973249210176767)</f>
        <v>9.7324921017676702E-2</v>
      </c>
      <c r="Y24" s="50">
        <f ca="1">IFERROR(__xludf.DUMMYFUNCTION("""COMPUTED_VALUE"""),0.344503299063986)</f>
        <v>0.34450329906398602</v>
      </c>
      <c r="Z24" s="51">
        <f ca="1">IFERROR(__xludf.DUMMYFUNCTION("""COMPUTED_VALUE"""),343.970562770562)</f>
        <v>343.97056277056203</v>
      </c>
      <c r="AA24" s="52" t="str">
        <f ca="1">IFERROR(__xludf.DUMMYFUNCTION("""COMPUTED_VALUE"""),"VERY BAD")</f>
        <v>VERY BAD</v>
      </c>
    </row>
    <row r="25" spans="1:27" ht="14.25" x14ac:dyDescent="0.2">
      <c r="A25" s="41">
        <v>2023</v>
      </c>
      <c r="B25" s="42" t="s">
        <v>5</v>
      </c>
      <c r="C25" s="43" t="s">
        <v>81</v>
      </c>
      <c r="D25" s="44">
        <v>348310.67</v>
      </c>
      <c r="E25" s="44">
        <v>361557.86</v>
      </c>
      <c r="F25" s="44">
        <f t="shared" si="0"/>
        <v>-13247.190000000002</v>
      </c>
      <c r="G25" s="45" t="str">
        <f ca="1">IFERROR(__xludf.DUMMYFUNCTION("""COMPUTED_VALUE"""),"Kee Sung Agriculture (M) Sdn Bhd")</f>
        <v>Kee Sung Agriculture (M) Sdn Bhd</v>
      </c>
      <c r="H25" s="46">
        <f ca="1">IFERROR(__xludf.DUMMYFUNCTION("""COMPUTED_VALUE"""),33000)</f>
        <v>33000</v>
      </c>
      <c r="I25" s="47">
        <f ca="1">IFERROR(__xludf.DUMMYFUNCTION("""COMPUTED_VALUE"""),2.03)</f>
        <v>2.0299999999999998</v>
      </c>
      <c r="J25" s="46">
        <f ca="1">IFERROR(__xludf.DUMMYFUNCTION("""COMPUTED_VALUE"""),2511)</f>
        <v>2511</v>
      </c>
      <c r="K25" s="48">
        <f ca="1">IFERROR(__xludf.DUMMYFUNCTION("""COMPUTED_VALUE"""),0.076090909090909)</f>
        <v>7.6090909090909001E-2</v>
      </c>
      <c r="L25" s="48">
        <f ca="1">IFERROR(__xludf.DUMMYFUNCTION("""COMPUTED_VALUE"""),0.92390909090909)</f>
        <v>0.92390909090909001</v>
      </c>
      <c r="M25" s="49">
        <f ca="1">IFERROR(__xludf.DUMMYFUNCTION("""COMPUTED_VALUE"""),35)</f>
        <v>35</v>
      </c>
      <c r="N25" s="46">
        <f ca="1">IFERROR(__xludf.DUMMYFUNCTION("""COMPUTED_VALUE"""),2053.19449999999)</f>
        <v>2053.1944999999901</v>
      </c>
      <c r="O25" s="45">
        <f ca="1">IFERROR(__xludf.DUMMYFUNCTION("""COMPUTED_VALUE"""),1.75)</f>
        <v>1.75</v>
      </c>
      <c r="P25" s="46">
        <f ca="1">IFERROR(__xludf.DUMMYFUNCTION("""COMPUTED_VALUE"""),30489)</f>
        <v>30489</v>
      </c>
      <c r="Q25" s="44">
        <f ca="1">IFERROR(__xludf.DUMMYFUNCTION("""COMPUTED_VALUE"""),58662.7)</f>
        <v>58662.7</v>
      </c>
      <c r="R25" s="44">
        <f ca="1">IFERROR(__xludf.DUMMYFUNCTION("""COMPUTED_VALUE"""),1.92406113680343)</f>
        <v>1.9240611368034299</v>
      </c>
      <c r="S25" s="44">
        <f ca="1">IFERROR(__xludf.DUMMYFUNCTION("""COMPUTED_VALUE"""),11.4241421496277)</f>
        <v>11.4241421496277</v>
      </c>
      <c r="T25" s="50">
        <f ca="1">IFERROR(__xludf.DUMMYFUNCTION("""COMPUTED_VALUE"""),11.8586329495883)</f>
        <v>11.8586329495883</v>
      </c>
      <c r="U25" s="50">
        <f ca="1">IFERROR(__xludf.DUMMYFUNCTION("""COMPUTED_VALUE"""),-0.434490799960642)</f>
        <v>-0.43449079996064199</v>
      </c>
      <c r="V25" s="50">
        <f ca="1">IFERROR(__xludf.DUMMYFUNCTION("""COMPUTED_VALUE"""),5.93751515017208)</f>
        <v>5.9375151501720804</v>
      </c>
      <c r="W25" s="50">
        <f ca="1">IFERROR(__xludf.DUMMYFUNCTION("""COMPUTED_VALUE"""),6.16333479365934)</f>
        <v>6.1633347936593399</v>
      </c>
      <c r="X25" s="50">
        <f ca="1">IFERROR(__xludf.DUMMYFUNCTION("""COMPUTED_VALUE"""),-0.225819643487258)</f>
        <v>-0.225819643487258</v>
      </c>
      <c r="Y25" s="50">
        <f ca="1">IFERROR(__xludf.DUMMYFUNCTION("""COMPUTED_VALUE"""),-0.434490799960641)</f>
        <v>-0.43449079996064099</v>
      </c>
      <c r="Z25" s="51">
        <f ca="1">IFERROR(__xludf.DUMMYFUNCTION("""COMPUTED_VALUE"""),290.229808286951)</f>
        <v>290.22980828695103</v>
      </c>
      <c r="AA25" s="52" t="str">
        <f ca="1">IFERROR(__xludf.DUMMYFUNCTION("""COMPUTED_VALUE"""),"VERY BAD")</f>
        <v>VERY BAD</v>
      </c>
    </row>
    <row r="26" spans="1:27" ht="14.25" x14ac:dyDescent="0.2">
      <c r="A26" s="41">
        <v>2023</v>
      </c>
      <c r="B26" s="42" t="s">
        <v>5</v>
      </c>
      <c r="C26" s="43" t="s">
        <v>82</v>
      </c>
      <c r="D26" s="44">
        <v>420894.59</v>
      </c>
      <c r="E26" s="44">
        <v>382515.37</v>
      </c>
      <c r="F26" s="44">
        <f t="shared" si="0"/>
        <v>38379.22000000003</v>
      </c>
      <c r="G26" s="45" t="str">
        <f ca="1">IFERROR(__xludf.DUMMYFUNCTION("""COMPUTED_VALUE"""),"Kee Sung Agriculture (M) Sdn Bhd")</f>
        <v>Kee Sung Agriculture (M) Sdn Bhd</v>
      </c>
      <c r="H26" s="46">
        <f ca="1">IFERROR(__xludf.DUMMYFUNCTION("""COMPUTED_VALUE"""),33000)</f>
        <v>33000</v>
      </c>
      <c r="I26" s="47">
        <f ca="1">IFERROR(__xludf.DUMMYFUNCTION("""COMPUTED_VALUE"""),2.03)</f>
        <v>2.0299999999999998</v>
      </c>
      <c r="J26" s="46">
        <f ca="1">IFERROR(__xludf.DUMMYFUNCTION("""COMPUTED_VALUE"""),2024)</f>
        <v>2024</v>
      </c>
      <c r="K26" s="48">
        <f ca="1">IFERROR(__xludf.DUMMYFUNCTION("""COMPUTED_VALUE"""),0.0613333333333333)</f>
        <v>6.1333333333333302E-2</v>
      </c>
      <c r="L26" s="48">
        <f ca="1">IFERROR(__xludf.DUMMYFUNCTION("""COMPUTED_VALUE"""),0.938666666666666)</f>
        <v>0.93866666666666598</v>
      </c>
      <c r="M26" s="49">
        <f ca="1">IFERROR(__xludf.DUMMYFUNCTION("""COMPUTED_VALUE"""),35)</f>
        <v>35</v>
      </c>
      <c r="N26" s="46">
        <f ca="1">IFERROR(__xludf.DUMMYFUNCTION("""COMPUTED_VALUE"""),2218.28376)</f>
        <v>2218.2837599999998</v>
      </c>
      <c r="O26" s="45">
        <f ca="1">IFERROR(__xludf.DUMMYFUNCTION("""COMPUTED_VALUE"""),1.61)</f>
        <v>1.61</v>
      </c>
      <c r="P26" s="46">
        <f ca="1">IFERROR(__xludf.DUMMYFUNCTION("""COMPUTED_VALUE"""),30976)</f>
        <v>30976</v>
      </c>
      <c r="Q26" s="44">
        <f ca="1">IFERROR(__xludf.DUMMYFUNCTION("""COMPUTED_VALUE"""),68890.8)</f>
        <v>68890.8</v>
      </c>
      <c r="R26" s="44">
        <f ca="1">IFERROR(__xludf.DUMMYFUNCTION("""COMPUTED_VALUE"""),2.22400568181818)</f>
        <v>2.2240056818181801</v>
      </c>
      <c r="S26" s="44">
        <f ca="1">IFERROR(__xludf.DUMMYFUNCTION("""COMPUTED_VALUE"""),13.5877643982438)</f>
        <v>13.587764398243801</v>
      </c>
      <c r="T26" s="50">
        <f ca="1">IFERROR(__xludf.DUMMYFUNCTION("""COMPUTED_VALUE"""),12.3487658186983)</f>
        <v>12.3487658186983</v>
      </c>
      <c r="U26" s="50">
        <f ca="1">IFERROR(__xludf.DUMMYFUNCTION("""COMPUTED_VALUE"""),1.23899857954545)</f>
        <v>1.2389985795454499</v>
      </c>
      <c r="V26" s="50">
        <f ca="1">IFERROR(__xludf.DUMMYFUNCTION("""COMPUTED_VALUE"""),5.94478899940195)</f>
        <v>5.9447889994019496</v>
      </c>
      <c r="W26" s="50">
        <f ca="1">IFERROR(__xludf.DUMMYFUNCTION("""COMPUTED_VALUE"""),5.5524884309661)</f>
        <v>5.5524884309660996</v>
      </c>
      <c r="X26" s="50">
        <f ca="1">IFERROR(__xludf.DUMMYFUNCTION("""COMPUTED_VALUE"""),0.392300568435842)</f>
        <v>0.39230056843584199</v>
      </c>
      <c r="Y26" s="50">
        <f ca="1">IFERROR(__xludf.DUMMYFUNCTION("""COMPUTED_VALUE"""),1.23899857954545)</f>
        <v>1.2389985795454499</v>
      </c>
      <c r="Z26" s="51">
        <f ca="1">IFERROR(__xludf.DUMMYFUNCTION("""COMPUTED_VALUE"""),370.470275066548)</f>
        <v>370.47027506654803</v>
      </c>
      <c r="AA26" s="52" t="str">
        <f ca="1">IFERROR(__xludf.DUMMYFUNCTION("""COMPUTED_VALUE"""),"VERY GOOD")</f>
        <v>VERY GOOD</v>
      </c>
    </row>
    <row r="27" spans="1:27" ht="14.25" x14ac:dyDescent="0.2">
      <c r="A27" s="41">
        <v>2023</v>
      </c>
      <c r="B27" s="42" t="s">
        <v>8</v>
      </c>
      <c r="C27" s="43" t="s">
        <v>78</v>
      </c>
      <c r="D27" s="44">
        <f ca="1">IFERROR(__xludf.DUMMYFUNCTION("TRANSPOSE(IMPORTRANGE(""1OP-qxVLNURBqstk-WZQd8qB2vYxDQLc8s35zWl_CMzo"", ""2023!C12:H12""))"),423764.31)</f>
        <v>423764.31</v>
      </c>
      <c r="E27" s="44">
        <f ca="1">IFERROR(__xludf.DUMMYFUNCTION("TRANSPOSE(IMPORTRANGE(""1OP-qxVLNURBqstk-WZQd8qB2vYxDQLc8s35zWl_CMzo"", ""2023!C41:H41""))"),346411.779999999)</f>
        <v>346411.77999999898</v>
      </c>
      <c r="F27" s="44">
        <f t="shared" ca="1" si="0"/>
        <v>77352.530000001017</v>
      </c>
      <c r="G27" s="46" t="str">
        <f ca="1">IFERROR(__xludf.DUMMYFUNCTION("TRANSPOSE(IMPORTRANGE(""1OP-qxVLNURBqstk-WZQd8qB2vYxDQLc8s35zWl_CMzo"", ""2023!C49:H69""))"),"Chop Cheong Bee Sdn Bhd")</f>
        <v>Chop Cheong Bee Sdn Bhd</v>
      </c>
      <c r="H27" s="46">
        <f ca="1">IFERROR(__xludf.DUMMYFUNCTION("""COMPUTED_VALUE"""),29200)</f>
        <v>29200</v>
      </c>
      <c r="I27" s="47">
        <f ca="1">IFERROR(__xludf.DUMMYFUNCTION("""COMPUTED_VALUE"""),2)</f>
        <v>2</v>
      </c>
      <c r="J27" s="46">
        <f ca="1">IFERROR(__xludf.DUMMYFUNCTION("""COMPUTED_VALUE"""),1287)</f>
        <v>1287</v>
      </c>
      <c r="K27" s="48">
        <f ca="1">IFERROR(__xludf.DUMMYFUNCTION("""COMPUTED_VALUE"""),0.0440753424657534)</f>
        <v>4.4075342465753398E-2</v>
      </c>
      <c r="L27" s="48">
        <f ca="1">IFERROR(__xludf.DUMMYFUNCTION("""COMPUTED_VALUE"""),0.955924657534246)</f>
        <v>0.95592465753424605</v>
      </c>
      <c r="M27" s="49">
        <f ca="1">IFERROR(__xludf.DUMMYFUNCTION("""COMPUTED_VALUE"""),35)</f>
        <v>35</v>
      </c>
      <c r="N27" s="46">
        <f ca="1">IFERROR(__xludf.DUMMYFUNCTION("""COMPUTED_VALUE"""),2100.71186)</f>
        <v>2100.7118599999999</v>
      </c>
      <c r="O27" s="45">
        <f ca="1">IFERROR(__xludf.DUMMYFUNCTION("""COMPUTED_VALUE"""),1.45)</f>
        <v>1.45</v>
      </c>
      <c r="P27" s="46">
        <f ca="1">IFERROR(__xludf.DUMMYFUNCTION("""COMPUTED_VALUE"""),27913)</f>
        <v>27913</v>
      </c>
      <c r="Q27" s="44">
        <f ca="1">IFERROR(__xludf.DUMMYFUNCTION("""COMPUTED_VALUE"""),72438.34)</f>
        <v>72438.34</v>
      </c>
      <c r="R27" s="44">
        <f ca="1">IFERROR(__xludf.DUMMYFUNCTION("""COMPUTED_VALUE"""),2.595147064092)</f>
        <v>2.595147064092</v>
      </c>
      <c r="S27" s="44">
        <f ca="1">IFERROR(__xludf.DUMMYFUNCTION("""COMPUTED_VALUE"""),15.1816110772758)</f>
        <v>15.1816110772758</v>
      </c>
      <c r="T27" s="50">
        <f ca="1">IFERROR(__xludf.DUMMYFUNCTION("""COMPUTED_VALUE"""),12.4104102031311)</f>
        <v>12.4104102031311</v>
      </c>
      <c r="U27" s="50">
        <f ca="1">IFERROR(__xludf.DUMMYFUNCTION("""COMPUTED_VALUE"""),2.77120087414466)</f>
        <v>2.7712008741446601</v>
      </c>
      <c r="V27" s="50">
        <f ca="1">IFERROR(__xludf.DUMMYFUNCTION("""COMPUTED_VALUE"""),5.85000028990172)</f>
        <v>5.8500002899017201</v>
      </c>
      <c r="W27" s="50">
        <f ca="1">IFERROR(__xludf.DUMMYFUNCTION("""COMPUTED_VALUE"""),4.78216066243373)</f>
        <v>4.7821606624337303</v>
      </c>
      <c r="X27" s="50">
        <f ca="1">IFERROR(__xludf.DUMMYFUNCTION("""COMPUTED_VALUE"""),1.06783962746799)</f>
        <v>1.06783962746799</v>
      </c>
      <c r="Y27" s="50">
        <f ca="1">IFERROR(__xludf.DUMMYFUNCTION("""COMPUTED_VALUE"""),1.06783962746799)</f>
        <v>1.06783962746799</v>
      </c>
      <c r="Z27" s="51">
        <f ca="1">IFERROR(__xludf.DUMMYFUNCTION("""COMPUTED_VALUE"""),427.718115257439)</f>
        <v>427.71811525743902</v>
      </c>
      <c r="AA27" s="52" t="str">
        <f ca="1">IFERROR(__xludf.DUMMYFUNCTION("""COMPUTED_VALUE"""),"VERY GOOD")</f>
        <v>VERY GOOD</v>
      </c>
    </row>
    <row r="28" spans="1:27" ht="14.25" x14ac:dyDescent="0.2">
      <c r="A28" s="41">
        <v>2023</v>
      </c>
      <c r="B28" s="42" t="s">
        <v>8</v>
      </c>
      <c r="C28" s="43" t="s">
        <v>79</v>
      </c>
      <c r="D28" s="44">
        <f ca="1">IFERROR(__xludf.DUMMYFUNCTION("""COMPUTED_VALUE"""),564908.67)</f>
        <v>564908.67000000004</v>
      </c>
      <c r="E28" s="44">
        <f ca="1">IFERROR(__xludf.DUMMYFUNCTION("""COMPUTED_VALUE"""),500223.4)</f>
        <v>500223.4</v>
      </c>
      <c r="F28" s="44">
        <f t="shared" ca="1" si="0"/>
        <v>64685.270000000019</v>
      </c>
      <c r="G28" s="46" t="str">
        <f ca="1">IFERROR(__xludf.DUMMYFUNCTION("""COMPUTED_VALUE"""),"Chop Cheong Bee Sdn Bhd")</f>
        <v>Chop Cheong Bee Sdn Bhd</v>
      </c>
      <c r="H28" s="46">
        <f ca="1">IFERROR(__xludf.DUMMYFUNCTION("""COMPUTED_VALUE"""),43800)</f>
        <v>43800</v>
      </c>
      <c r="I28" s="47">
        <f ca="1">IFERROR(__xludf.DUMMYFUNCTION("""COMPUTED_VALUE"""),2)</f>
        <v>2</v>
      </c>
      <c r="J28" s="46">
        <f ca="1">IFERROR(__xludf.DUMMYFUNCTION("""COMPUTED_VALUE"""),2042)</f>
        <v>2042</v>
      </c>
      <c r="K28" s="48">
        <f ca="1">IFERROR(__xludf.DUMMYFUNCTION("""COMPUTED_VALUE"""),0.0453)</f>
        <v>4.53E-2</v>
      </c>
      <c r="L28" s="48">
        <f ca="1">IFERROR(__xludf.DUMMYFUNCTION("""COMPUTED_VALUE"""),0.953378995433789)</f>
        <v>0.95337899543378901</v>
      </c>
      <c r="M28" s="49">
        <f ca="1">IFERROR(__xludf.DUMMYFUNCTION("""COMPUTED_VALUE"""),35)</f>
        <v>35</v>
      </c>
      <c r="N28" s="46">
        <f ca="1">IFERROR(__xludf.DUMMYFUNCTION("""COMPUTED_VALUE"""),2883)</f>
        <v>2883</v>
      </c>
      <c r="O28" s="45">
        <f ca="1">IFERROR(__xludf.DUMMYFUNCTION("""COMPUTED_VALUE"""),1.49)</f>
        <v>1.49</v>
      </c>
      <c r="P28" s="46">
        <f ca="1">IFERROR(__xludf.DUMMYFUNCTION("""COMPUTED_VALUE"""),41758)</f>
        <v>41758</v>
      </c>
      <c r="Q28" s="44">
        <f ca="1">IFERROR(__xludf.DUMMYFUNCTION("""COMPUTED_VALUE"""),96690)</f>
        <v>96690</v>
      </c>
      <c r="R28" s="44">
        <f ca="1">IFERROR(__xludf.DUMMYFUNCTION("""COMPUTED_VALUE"""),2.31548445806791)</f>
        <v>2.3154844580679099</v>
      </c>
      <c r="S28" s="44">
        <f ca="1">IFERROR(__xludf.DUMMYFUNCTION("""COMPUTED_VALUE"""),13.5281543656305)</f>
        <v>13.528154365630501</v>
      </c>
      <c r="T28" s="50">
        <f ca="1">IFERROR(__xludf.DUMMYFUNCTION("""COMPUTED_VALUE"""),11.9791034053355)</f>
        <v>11.979103405335501</v>
      </c>
      <c r="U28" s="50">
        <f ca="1">IFERROR(__xludf.DUMMYFUNCTION("""COMPUTED_VALUE"""),1.54905096029503)</f>
        <v>1.54905096029503</v>
      </c>
      <c r="V28" s="50">
        <f ca="1">IFERROR(__xludf.DUMMYFUNCTION("""COMPUTED_VALUE"""),5.84247254111076)</f>
        <v>5.8424725411107596</v>
      </c>
      <c r="W28" s="50">
        <f ca="1">IFERROR(__xludf.DUMMYFUNCTION("""COMPUTED_VALUE"""),5.17347605750336)</f>
        <v>5.1734760575033603</v>
      </c>
      <c r="X28" s="50">
        <f ca="1">IFERROR(__xludf.DUMMYFUNCTION("""COMPUTED_VALUE"""),0.668996483607405)</f>
        <v>0.66899648360740505</v>
      </c>
      <c r="Y28" s="50">
        <f ca="1">IFERROR(__xludf.DUMMYFUNCTION("""COMPUTED_VALUE"""),0.668996483607405)</f>
        <v>0.66899648360740505</v>
      </c>
      <c r="Z28" s="51">
        <f ca="1">IFERROR(__xludf.DUMMYFUNCTION("""COMPUTED_VALUE"""),370.391652109956)</f>
        <v>370.391652109956</v>
      </c>
      <c r="AA28" s="52" t="str">
        <f ca="1">IFERROR(__xludf.DUMMYFUNCTION("""COMPUTED_VALUE"""),"JUST AVERAGE")</f>
        <v>JUST AVERAGE</v>
      </c>
    </row>
    <row r="29" spans="1:27" ht="14.25" x14ac:dyDescent="0.2">
      <c r="A29" s="41">
        <v>2023</v>
      </c>
      <c r="B29" s="42" t="s">
        <v>8</v>
      </c>
      <c r="C29" s="43" t="s">
        <v>80</v>
      </c>
      <c r="D29" s="44">
        <f ca="1">IFERROR(__xludf.DUMMYFUNCTION("""COMPUTED_VALUE"""),567674.57)</f>
        <v>567674.56999999995</v>
      </c>
      <c r="E29" s="44">
        <f ca="1">IFERROR(__xludf.DUMMYFUNCTION("""COMPUTED_VALUE"""),513127.5)</f>
        <v>513127.5</v>
      </c>
      <c r="F29" s="44">
        <f t="shared" ca="1" si="0"/>
        <v>54547.069999999949</v>
      </c>
      <c r="G29" s="46" t="str">
        <f ca="1">IFERROR(__xludf.DUMMYFUNCTION("""COMPUTED_VALUE"""),"Chop Cheong Bee Sdn Bhd")</f>
        <v>Chop Cheong Bee Sdn Bhd</v>
      </c>
      <c r="H29" s="46">
        <f ca="1">IFERROR(__xludf.DUMMYFUNCTION("""COMPUTED_VALUE"""),43800)</f>
        <v>43800</v>
      </c>
      <c r="I29" s="47">
        <f ca="1">IFERROR(__xludf.DUMMYFUNCTION("""COMPUTED_VALUE"""),1.98)</f>
        <v>1.98</v>
      </c>
      <c r="J29" s="46">
        <f ca="1">IFERROR(__xludf.DUMMYFUNCTION("""COMPUTED_VALUE"""),1873)</f>
        <v>1873</v>
      </c>
      <c r="K29" s="48">
        <f ca="1">IFERROR(__xludf.DUMMYFUNCTION("""COMPUTED_VALUE"""),0.0427625570776255)</f>
        <v>4.2762557077625503E-2</v>
      </c>
      <c r="L29" s="48">
        <f ca="1">IFERROR(__xludf.DUMMYFUNCTION("""COMPUTED_VALUE"""),0.957237442922374)</f>
        <v>0.957237442922374</v>
      </c>
      <c r="M29" s="49">
        <f ca="1">IFERROR(__xludf.DUMMYFUNCTION("""COMPUTED_VALUE"""),35)</f>
        <v>35</v>
      </c>
      <c r="N29" s="46">
        <f ca="1">IFERROR(__xludf.DUMMYFUNCTION("""COMPUTED_VALUE"""),2888)</f>
        <v>2888</v>
      </c>
      <c r="O29" s="47">
        <f ca="1">IFERROR(__xludf.DUMMYFUNCTION("""COMPUTED_VALUE"""),1.5)</f>
        <v>1.5</v>
      </c>
      <c r="P29" s="46">
        <f ca="1">IFERROR(__xludf.DUMMYFUNCTION("""COMPUTED_VALUE"""),41927)</f>
        <v>41927</v>
      </c>
      <c r="Q29" s="44">
        <f ca="1">IFERROR(__xludf.DUMMYFUNCTION("""COMPUTED_VALUE"""),96576.84)</f>
        <v>96576.84</v>
      </c>
      <c r="R29" s="44">
        <f ca="1">IFERROR(__xludf.DUMMYFUNCTION("""COMPUTED_VALUE"""),2.30345219071242)</f>
        <v>2.3034521907124201</v>
      </c>
      <c r="S29" s="44">
        <f ca="1">IFERROR(__xludf.DUMMYFUNCTION("""COMPUTED_VALUE"""),13.5395942948458)</f>
        <v>13.5395942948458</v>
      </c>
      <c r="T29" s="50">
        <f ca="1">IFERROR(__xludf.DUMMYFUNCTION("""COMPUTED_VALUE"""),12.2385932692537)</f>
        <v>12.2385932692537</v>
      </c>
      <c r="U29" s="50">
        <f ca="1">IFERROR(__xludf.DUMMYFUNCTION("""COMPUTED_VALUE"""),1.30100102559209)</f>
        <v>1.3010010255920901</v>
      </c>
      <c r="V29" s="50">
        <f ca="1">IFERROR(__xludf.DUMMYFUNCTION("""COMPUTED_VALUE"""),5.87795759314552)</f>
        <v>5.8779575931455197</v>
      </c>
      <c r="W29" s="50">
        <f ca="1">IFERROR(__xludf.DUMMYFUNCTION("""COMPUTED_VALUE"""),5.3131527186021)</f>
        <v>5.3131527186021001</v>
      </c>
      <c r="X29" s="50">
        <f ca="1">IFERROR(__xludf.DUMMYFUNCTION("""COMPUTED_VALUE"""),0.564804874543419)</f>
        <v>0.56480487454341899</v>
      </c>
      <c r="Y29" s="50">
        <f ca="1">IFERROR(__xludf.DUMMYFUNCTION("""COMPUTED_VALUE"""),0.564804874543419)</f>
        <v>0.56480487454341899</v>
      </c>
      <c r="Z29" s="51">
        <f ca="1">IFERROR(__xludf.DUMMYFUNCTION("""COMPUTED_VALUE"""),367.491780821917)</f>
        <v>367.49178082191702</v>
      </c>
      <c r="AA29" s="52" t="str">
        <f ca="1">IFERROR(__xludf.DUMMYFUNCTION("""COMPUTED_VALUE"""),"VERY BAD")</f>
        <v>VERY BAD</v>
      </c>
    </row>
    <row r="30" spans="1:27" ht="14.25" x14ac:dyDescent="0.2">
      <c r="A30" s="41">
        <v>2023</v>
      </c>
      <c r="B30" s="42" t="s">
        <v>8</v>
      </c>
      <c r="C30" s="43" t="s">
        <v>81</v>
      </c>
      <c r="D30" s="44">
        <f ca="1">IFERROR(__xludf.DUMMYFUNCTION("""COMPUTED_VALUE"""),526308.76)</f>
        <v>526308.76</v>
      </c>
      <c r="E30" s="44">
        <f ca="1">IFERROR(__xludf.DUMMYFUNCTION("""COMPUTED_VALUE"""),489085.26)</f>
        <v>489085.26</v>
      </c>
      <c r="F30" s="44">
        <f t="shared" ca="1" si="0"/>
        <v>37223.5</v>
      </c>
      <c r="G30" s="46" t="str">
        <f ca="1">IFERROR(__xludf.DUMMYFUNCTION("""COMPUTED_VALUE"""),"Chop Cheong Bee Sdn Bhd")</f>
        <v>Chop Cheong Bee Sdn Bhd</v>
      </c>
      <c r="H30" s="46">
        <f ca="1">IFERROR(__xludf.DUMMYFUNCTION("""COMPUTED_VALUE"""),43800)</f>
        <v>43800</v>
      </c>
      <c r="I30" s="47">
        <f ca="1">IFERROR(__xludf.DUMMYFUNCTION("""COMPUTED_VALUE"""),1.98)</f>
        <v>1.98</v>
      </c>
      <c r="J30" s="46">
        <f ca="1">IFERROR(__xludf.DUMMYFUNCTION("""COMPUTED_VALUE"""),2074)</f>
        <v>2074</v>
      </c>
      <c r="K30" s="48">
        <f ca="1">IFERROR(__xludf.DUMMYFUNCTION("""COMPUTED_VALUE"""),0.0473515981735159)</f>
        <v>4.7351598173515898E-2</v>
      </c>
      <c r="L30" s="48">
        <f ca="1">IFERROR(__xludf.DUMMYFUNCTION("""COMPUTED_VALUE"""),0.952648401826484)</f>
        <v>0.95264840182648403</v>
      </c>
      <c r="M30" s="49">
        <f ca="1">IFERROR(__xludf.DUMMYFUNCTION("""COMPUTED_VALUE"""),35)</f>
        <v>35</v>
      </c>
      <c r="N30" s="46">
        <f ca="1">IFERROR(__xludf.DUMMYFUNCTION("""COMPUTED_VALUE"""),2763)</f>
        <v>2763</v>
      </c>
      <c r="O30" s="47">
        <f ca="1">IFERROR(__xludf.DUMMYFUNCTION("""COMPUTED_VALUE"""),1.54)</f>
        <v>1.54</v>
      </c>
      <c r="P30" s="46">
        <f ca="1">IFERROR(__xludf.DUMMYFUNCTION("""COMPUTED_VALUE"""),41726)</f>
        <v>41726</v>
      </c>
      <c r="Q30" s="44">
        <f ca="1">IFERROR(__xludf.DUMMYFUNCTION("""COMPUTED_VALUE"""),89967.3)</f>
        <v>89967.3</v>
      </c>
      <c r="R30" s="44">
        <f ca="1">IFERROR(__xludf.DUMMYFUNCTION("""COMPUTED_VALUE"""),2.15614484973397)</f>
        <v>2.1561448497339701</v>
      </c>
      <c r="S30" s="44">
        <f ca="1">IFERROR(__xludf.DUMMYFUNCTION("""COMPUTED_VALUE"""),12.6134486890667)</f>
        <v>12.613448689066701</v>
      </c>
      <c r="T30" s="50">
        <f ca="1">IFERROR(__xludf.DUMMYFUNCTION("""COMPUTED_VALUE"""),11.7213550304366)</f>
        <v>11.7213550304366</v>
      </c>
      <c r="U30" s="50">
        <f ca="1">IFERROR(__xludf.DUMMYFUNCTION("""COMPUTED_VALUE"""),0.892093658630111)</f>
        <v>0.89209365863011103</v>
      </c>
      <c r="V30" s="50">
        <f ca="1">IFERROR(__xludf.DUMMYFUNCTION("""COMPUTED_VALUE"""),5.85000061133322)</f>
        <v>5.8500006113332201</v>
      </c>
      <c r="W30" s="50">
        <f ca="1">IFERROR(__xludf.DUMMYFUNCTION("""COMPUTED_VALUE"""),5.43625583962172)</f>
        <v>5.4362558396217198</v>
      </c>
      <c r="X30" s="50">
        <f ca="1">IFERROR(__xludf.DUMMYFUNCTION("""COMPUTED_VALUE"""),0.413744771711499)</f>
        <v>0.41374477171149898</v>
      </c>
      <c r="Y30" s="50">
        <f ca="1">IFERROR(__xludf.DUMMYFUNCTION("""COMPUTED_VALUE"""),0.413744771711499)</f>
        <v>0.41374477171149898</v>
      </c>
      <c r="Z30" s="51">
        <f ca="1">IFERROR(__xludf.DUMMYFUNCTION("""COMPUTED_VALUE"""),333.449341754136)</f>
        <v>333.44934175413601</v>
      </c>
      <c r="AA30" s="52" t="str">
        <f ca="1">IFERROR(__xludf.DUMMYFUNCTION("""COMPUTED_VALUE"""),"VERY BAD")</f>
        <v>VERY BAD</v>
      </c>
    </row>
    <row r="31" spans="1:27" ht="14.25" x14ac:dyDescent="0.2">
      <c r="A31" s="41">
        <v>2023</v>
      </c>
      <c r="B31" s="42" t="s">
        <v>8</v>
      </c>
      <c r="C31" s="43" t="s">
        <v>82</v>
      </c>
      <c r="D31" s="44">
        <f ca="1">IFERROR(__xludf.DUMMYFUNCTION("""COMPUTED_VALUE"""),579811.31)</f>
        <v>579811.31000000006</v>
      </c>
      <c r="E31" s="44">
        <f ca="1">IFERROR(__xludf.DUMMYFUNCTION("""COMPUTED_VALUE"""),497169.4)</f>
        <v>497169.4</v>
      </c>
      <c r="F31" s="44">
        <f t="shared" ca="1" si="0"/>
        <v>82641.910000000033</v>
      </c>
      <c r="G31" s="46" t="str">
        <f ca="1">IFERROR(__xludf.DUMMYFUNCTION("""COMPUTED_VALUE"""),"Chop Cheong Bee Sdn Bhd")</f>
        <v>Chop Cheong Bee Sdn Bhd</v>
      </c>
      <c r="H31" s="46">
        <f ca="1">IFERROR(__xludf.DUMMYFUNCTION("""COMPUTED_VALUE"""),43800)</f>
        <v>43800</v>
      </c>
      <c r="I31" s="47">
        <f ca="1">IFERROR(__xludf.DUMMYFUNCTION("""COMPUTED_VALUE"""),2.02)</f>
        <v>2.02</v>
      </c>
      <c r="J31" s="46">
        <f ca="1">IFERROR(__xludf.DUMMYFUNCTION("""COMPUTED_VALUE"""),1200)</f>
        <v>1200</v>
      </c>
      <c r="K31" s="48">
        <f ca="1">IFERROR(__xludf.DUMMYFUNCTION("""COMPUTED_VALUE"""),0.0273972602739726)</f>
        <v>2.7397260273972601E-2</v>
      </c>
      <c r="L31" s="48">
        <f ca="1">IFERROR(__xludf.DUMMYFUNCTION("""COMPUTED_VALUE"""),0.972602739726027)</f>
        <v>0.97260273972602695</v>
      </c>
      <c r="M31" s="49">
        <f ca="1">IFERROR(__xludf.DUMMYFUNCTION("""COMPUTED_VALUE"""),35)</f>
        <v>35</v>
      </c>
      <c r="N31" s="46">
        <f ca="1">IFERROR(__xludf.DUMMYFUNCTION("""COMPUTED_VALUE"""),2870.394)</f>
        <v>2870.3939999999998</v>
      </c>
      <c r="O31" s="47">
        <f ca="1">IFERROR(__xludf.DUMMYFUNCTION("""COMPUTED_VALUE"""),1.5)</f>
        <v>1.5</v>
      </c>
      <c r="P31" s="46">
        <f ca="1">IFERROR(__xludf.DUMMYFUNCTION("""COMPUTED_VALUE"""),42600)</f>
        <v>42600</v>
      </c>
      <c r="Q31" s="44">
        <f ca="1">IFERROR(__xludf.DUMMYFUNCTION("""COMPUTED_VALUE"""),95679.8)</f>
        <v>95679.8</v>
      </c>
      <c r="R31" s="44">
        <f ca="1">IFERROR(__xludf.DUMMYFUNCTION("""COMPUTED_VALUE"""),2.24600469483568)</f>
        <v>2.2460046948356802</v>
      </c>
      <c r="S31" s="44">
        <f ca="1">IFERROR(__xludf.DUMMYFUNCTION("""COMPUTED_VALUE"""),13.6105941314554)</f>
        <v>13.6105941314554</v>
      </c>
      <c r="T31" s="50">
        <f ca="1">IFERROR(__xludf.DUMMYFUNCTION("""COMPUTED_VALUE"""),11.6706431924882)</f>
        <v>11.6706431924882</v>
      </c>
      <c r="U31" s="50">
        <f ca="1">IFERROR(__xludf.DUMMYFUNCTION("""COMPUTED_VALUE"""),1.93995093896713)</f>
        <v>1.9399509389671299</v>
      </c>
      <c r="V31" s="50">
        <f ca="1">IFERROR(__xludf.DUMMYFUNCTION("""COMPUTED_VALUE"""),6.05991348226062)</f>
        <v>6.0599134822606198</v>
      </c>
      <c r="W31" s="50">
        <f ca="1">IFERROR(__xludf.DUMMYFUNCTION("""COMPUTED_VALUE"""),5.19617933983975)</f>
        <v>5.19617933983975</v>
      </c>
      <c r="X31" s="50">
        <f ca="1">IFERROR(__xludf.DUMMYFUNCTION("""COMPUTED_VALUE"""),0.863734142420867)</f>
        <v>0.86373414242086699</v>
      </c>
      <c r="Y31" s="50">
        <f ca="1">IFERROR(__xludf.DUMMYFUNCTION("""COMPUTED_VALUE"""),0.863734142420866)</f>
        <v>0.86373414242086599</v>
      </c>
      <c r="Z31" s="51">
        <f ca="1">IFERROR(__xludf.DUMMYFUNCTION("""COMPUTED_VALUE"""),364.078386605783)</f>
        <v>364.07838660578301</v>
      </c>
      <c r="AA31" s="52" t="str">
        <f ca="1">IFERROR(__xludf.DUMMYFUNCTION("""COMPUTED_VALUE"""),"JUST AVERAGE")</f>
        <v>JUST AVERAGE</v>
      </c>
    </row>
    <row r="32" spans="1:27" ht="14.25" x14ac:dyDescent="0.2">
      <c r="A32" s="41">
        <v>2023</v>
      </c>
      <c r="B32" s="42" t="s">
        <v>8</v>
      </c>
      <c r="C32" s="43" t="s">
        <v>83</v>
      </c>
      <c r="D32" s="44">
        <f ca="1">IFERROR(__xludf.DUMMYFUNCTION("""COMPUTED_VALUE"""),615363.97)</f>
        <v>615363.97</v>
      </c>
      <c r="E32" s="44">
        <f ca="1">IFERROR(__xludf.DUMMYFUNCTION("""COMPUTED_VALUE"""),504693.05)</f>
        <v>504693.05</v>
      </c>
      <c r="F32" s="44">
        <f t="shared" ca="1" si="0"/>
        <v>110670.91999999998</v>
      </c>
      <c r="G32" s="46" t="str">
        <f ca="1">IFERROR(__xludf.DUMMYFUNCTION("""COMPUTED_VALUE"""),"Chop Cheong Bee Sdn Bhd")</f>
        <v>Chop Cheong Bee Sdn Bhd</v>
      </c>
      <c r="H32" s="46">
        <f ca="1">IFERROR(__xludf.DUMMYFUNCTION("""COMPUTED_VALUE"""),43800)</f>
        <v>43800</v>
      </c>
      <c r="I32" s="47">
        <f ca="1">IFERROR(__xludf.DUMMYFUNCTION("""COMPUTED_VALUE"""),2.03)</f>
        <v>2.0299999999999998</v>
      </c>
      <c r="J32" s="46">
        <f ca="1">IFERROR(__xludf.DUMMYFUNCTION("""COMPUTED_VALUE"""),2031)</f>
        <v>2031</v>
      </c>
      <c r="K32" s="48">
        <f ca="1">IFERROR(__xludf.DUMMYFUNCTION("""COMPUTED_VALUE"""),0.0463698630136986)</f>
        <v>4.6369863013698602E-2</v>
      </c>
      <c r="L32" s="48">
        <f ca="1">IFERROR(__xludf.DUMMYFUNCTION("""COMPUTED_VALUE"""),0.953630136986301)</f>
        <v>0.95363013698630095</v>
      </c>
      <c r="M32" s="49">
        <f ca="1">IFERROR(__xludf.DUMMYFUNCTION("""COMPUTED_VALUE"""),35)</f>
        <v>35</v>
      </c>
      <c r="N32" s="46">
        <f ca="1">IFERROR(__xludf.DUMMYFUNCTION("""COMPUTED_VALUE"""),2825)</f>
        <v>2825</v>
      </c>
      <c r="O32" s="47">
        <f ca="1">IFERROR(__xludf.DUMMYFUNCTION("""COMPUTED_VALUE"""),1.42)</f>
        <v>1.42</v>
      </c>
      <c r="P32" s="46">
        <f ca="1">IFERROR(__xludf.DUMMYFUNCTION("""COMPUTED_VALUE"""),41769)</f>
        <v>41769</v>
      </c>
      <c r="Q32" s="44">
        <f ca="1">IFERROR(__xludf.DUMMYFUNCTION("""COMPUTED_VALUE"""),99293.2)</f>
        <v>99293.2</v>
      </c>
      <c r="R32" s="44">
        <f ca="1">IFERROR(__xludf.DUMMYFUNCTION("""COMPUTED_VALUE"""),2.37719840072781)</f>
        <v>2.37719840072781</v>
      </c>
      <c r="S32" s="44">
        <f ca="1">IFERROR(__xludf.DUMMYFUNCTION("""COMPUTED_VALUE"""),14.7325521319638)</f>
        <v>14.7325521319638</v>
      </c>
      <c r="T32" s="50">
        <f ca="1">IFERROR(__xludf.DUMMYFUNCTION("""COMPUTED_VALUE"""),12.0829574564868)</f>
        <v>12.082957456486801</v>
      </c>
      <c r="U32" s="50">
        <f ca="1">IFERROR(__xludf.DUMMYFUNCTION("""COMPUTED_VALUE"""),2.64959467547702)</f>
        <v>2.6495946754770201</v>
      </c>
      <c r="V32" s="50">
        <f ca="1">IFERROR(__xludf.DUMMYFUNCTION("""COMPUTED_VALUE"""),6.19744322874073)</f>
        <v>6.1974432287407302</v>
      </c>
      <c r="W32" s="50">
        <f ca="1">IFERROR(__xludf.DUMMYFUNCTION("""COMPUTED_VALUE"""),5.08285612710638)</f>
        <v>5.0828561271063801</v>
      </c>
      <c r="X32" s="50">
        <f ca="1">IFERROR(__xludf.DUMMYFUNCTION("""COMPUTED_VALUE"""),1.11458710163435)</f>
        <v>1.11458710163435</v>
      </c>
      <c r="Y32" s="50">
        <f ca="1">IFERROR(__xludf.DUMMYFUNCTION("""COMPUTED_VALUE"""),1.11458710163435)</f>
        <v>1.11458710163435</v>
      </c>
      <c r="Z32" s="51">
        <f ca="1">IFERROR(__xludf.DUMMYFUNCTION("""COMPUTED_VALUE"""),399.114090938324)</f>
        <v>399.11409093832401</v>
      </c>
      <c r="AA32" s="52" t="str">
        <f ca="1">IFERROR(__xludf.DUMMYFUNCTION("""COMPUTED_VALUE"""),"VERY GOOD")</f>
        <v>VERY GOOD</v>
      </c>
    </row>
    <row r="33" spans="1:27" ht="14.25" x14ac:dyDescent="0.2">
      <c r="A33" s="41">
        <v>2023</v>
      </c>
      <c r="B33" s="42" t="s">
        <v>9</v>
      </c>
      <c r="C33" s="43" t="s">
        <v>78</v>
      </c>
      <c r="D33" s="50">
        <f ca="1">IFERROR(__xludf.DUMMYFUNCTION("TRANSPOSE(IMPORTRANGE(""1Y1LY7dyNGLp0NieLSn-6awoDagvXjF5SwgLKBcwcayI"", ""2023!C12:F12""))"),243596.09)</f>
        <v>243596.09</v>
      </c>
      <c r="E33" s="50">
        <f ca="1">IFERROR(__xludf.DUMMYFUNCTION("TRANSPOSE(IMPORTRANGE(""1Y1LY7dyNGLp0NieLSn-6awoDagvXjF5SwgLKBcwcayI"", ""2023!C42:F42""))"),262305.7)</f>
        <v>262305.7</v>
      </c>
      <c r="F33" s="44">
        <f t="shared" ca="1" si="0"/>
        <v>-18709.610000000015</v>
      </c>
      <c r="G33" s="53" t="str">
        <f ca="1">IFERROR(__xludf.DUMMYFUNCTION("TRANSPOSE(IMPORTRANGE(""1Y1LY7dyNGLp0NieLSn-6awoDagvXjF5SwgLKBcwcayI"", ""2023!C50:F70""))"),"Chop Cheong Bee Sdn Bhd")</f>
        <v>Chop Cheong Bee Sdn Bhd</v>
      </c>
      <c r="H33" s="46">
        <f ca="1">IFERROR(__xludf.DUMMYFUNCTION("""COMPUTED_VALUE"""),14000)</f>
        <v>14000</v>
      </c>
      <c r="I33" s="47">
        <f ca="1">IFERROR(__xludf.DUMMYFUNCTION("""COMPUTED_VALUE"""),2.03)</f>
        <v>2.0299999999999998</v>
      </c>
      <c r="J33" s="46">
        <f ca="1">IFERROR(__xludf.DUMMYFUNCTION("""COMPUTED_VALUE"""),486)</f>
        <v>486</v>
      </c>
      <c r="K33" s="48">
        <f ca="1">IFERROR(__xludf.DUMMYFUNCTION("""COMPUTED_VALUE"""),0.0347142857142857)</f>
        <v>3.4714285714285698E-2</v>
      </c>
      <c r="L33" s="48">
        <f ca="1">IFERROR(__xludf.DUMMYFUNCTION("""COMPUTED_VALUE"""),0.965285714285714)</f>
        <v>0.96528571428571397</v>
      </c>
      <c r="M33" s="49">
        <f ca="1">IFERROR(__xludf.DUMMYFUNCTION("""COMPUTED_VALUE"""),35)</f>
        <v>35</v>
      </c>
      <c r="N33" s="49">
        <f ca="1">IFERROR(__xludf.DUMMYFUNCTION("""COMPUTED_VALUE"""),904.66892)</f>
        <v>904.66891999999996</v>
      </c>
      <c r="O33" s="47">
        <f ca="1">IFERROR(__xludf.DUMMYFUNCTION("""COMPUTED_VALUE"""),1.45)</f>
        <v>1.45</v>
      </c>
      <c r="P33" s="51">
        <f ca="1">IFERROR(__xludf.DUMMYFUNCTION("""COMPUTED_VALUE"""),13514)</f>
        <v>13514</v>
      </c>
      <c r="Q33" s="50">
        <f ca="1">IFERROR(__xludf.DUMMYFUNCTION("""COMPUTED_VALUE"""),31195.48)</f>
        <v>31195.48</v>
      </c>
      <c r="R33" s="50">
        <f ca="1">IFERROR(__xludf.DUMMYFUNCTION("""COMPUTED_VALUE"""),2.30838241823294)</f>
        <v>2.3083824182329402</v>
      </c>
      <c r="S33" s="44">
        <f ca="1">IFERROR(__xludf.DUMMYFUNCTION("""COMPUTED_VALUE"""),18.0254617433772)</f>
        <v>18.0254617433772</v>
      </c>
      <c r="T33" s="54">
        <f ca="1">IFERROR(__xludf.DUMMYFUNCTION("""COMPUTED_VALUE"""),19.4099230427704)</f>
        <v>19.409923042770401</v>
      </c>
      <c r="U33" s="54">
        <f ca="1">IFERROR(__xludf.DUMMYFUNCTION("""COMPUTED_VALUE"""),-1.38446129939322)</f>
        <v>-1.3844612993932199</v>
      </c>
      <c r="V33" s="54">
        <f ca="1">IFERROR(__xludf.DUMMYFUNCTION("""COMPUTED_VALUE"""),5.92797706590826)</f>
        <v>5.9279770659082596</v>
      </c>
      <c r="W33" s="54">
        <f ca="1">IFERROR(__xludf.DUMMYFUNCTION("""COMPUTED_VALUE"""),8.40845212190996)</f>
        <v>8.4084521219099599</v>
      </c>
      <c r="X33" s="54">
        <f ca="1">IFERROR(__xludf.DUMMYFUNCTION("""COMPUTED_VALUE"""),-2.4804750560017)</f>
        <v>-2.4804750560016999</v>
      </c>
      <c r="Y33" s="52">
        <f ca="1">IFERROR(__xludf.DUMMYFUNCTION("""COMPUTED_VALUE"""),-1.38446129939322)</f>
        <v>-1.3844612993932199</v>
      </c>
      <c r="Z33" s="51">
        <f ca="1">IFERROR(__xludf.DUMMYFUNCTION("""COMPUTED_VALUE"""),384.180788177339)</f>
        <v>384.18078817733902</v>
      </c>
      <c r="AA33" s="52" t="str">
        <f ca="1">IFERROR(__xludf.DUMMYFUNCTION("""COMPUTED_VALUE"""),"VERY BAD")</f>
        <v>VERY BAD</v>
      </c>
    </row>
    <row r="34" spans="1:27" ht="14.25" x14ac:dyDescent="0.2">
      <c r="A34" s="41">
        <v>2023</v>
      </c>
      <c r="B34" s="42" t="s">
        <v>9</v>
      </c>
      <c r="C34" s="43" t="s">
        <v>79</v>
      </c>
      <c r="D34" s="44">
        <f ca="1">IFERROR(__xludf.DUMMYFUNCTION("""COMPUTED_VALUE"""),190675.09)</f>
        <v>190675.09</v>
      </c>
      <c r="E34" s="44">
        <f ca="1">IFERROR(__xludf.DUMMYFUNCTION("""COMPUTED_VALUE"""),172720.15)</f>
        <v>172720.15</v>
      </c>
      <c r="F34" s="44">
        <f t="shared" ca="1" si="0"/>
        <v>17954.940000000002</v>
      </c>
      <c r="G34" s="45" t="str">
        <f ca="1">IFERROR(__xludf.DUMMYFUNCTION("""COMPUTED_VALUE"""),"Chop Cheong Bee Sdn Bhd")</f>
        <v>Chop Cheong Bee Sdn Bhd</v>
      </c>
      <c r="H34" s="46">
        <f ca="1">IFERROR(__xludf.DUMMYFUNCTION("""COMPUTED_VALUE"""),15000)</f>
        <v>15000</v>
      </c>
      <c r="I34" s="47">
        <f ca="1">IFERROR(__xludf.DUMMYFUNCTION("""COMPUTED_VALUE"""),2)</f>
        <v>2</v>
      </c>
      <c r="J34" s="46">
        <f ca="1">IFERROR(__xludf.DUMMYFUNCTION("""COMPUTED_VALUE"""),660)</f>
        <v>660</v>
      </c>
      <c r="K34" s="48">
        <f ca="1">IFERROR(__xludf.DUMMYFUNCTION("""COMPUTED_VALUE"""),0.044)</f>
        <v>4.3999999999999997E-2</v>
      </c>
      <c r="L34" s="48">
        <f ca="1">IFERROR(__xludf.DUMMYFUNCTION("""COMPUTED_VALUE"""),0.956)</f>
        <v>0.95599999999999996</v>
      </c>
      <c r="M34" s="49">
        <f ca="1">IFERROR(__xludf.DUMMYFUNCTION("""COMPUTED_VALUE"""),35)</f>
        <v>35</v>
      </c>
      <c r="N34" s="49">
        <f ca="1">IFERROR(__xludf.DUMMYFUNCTION("""COMPUTED_VALUE"""),958.153439999999)</f>
        <v>958.15343999999902</v>
      </c>
      <c r="O34" s="47">
        <f ca="1">IFERROR(__xludf.DUMMYFUNCTION("""COMPUTED_VALUE"""),1.49)</f>
        <v>1.49</v>
      </c>
      <c r="P34" s="46">
        <f ca="1">IFERROR(__xludf.DUMMYFUNCTION("""COMPUTED_VALUE"""),14340)</f>
        <v>14340</v>
      </c>
      <c r="Q34" s="44">
        <f ca="1">IFERROR(__xludf.DUMMYFUNCTION("""COMPUTED_VALUE"""),32152.8)</f>
        <v>32152.799999999999</v>
      </c>
      <c r="R34" s="44">
        <f ca="1">IFERROR(__xludf.DUMMYFUNCTION("""COMPUTED_VALUE"""),2.24217573221757)</f>
        <v>2.2421757322175702</v>
      </c>
      <c r="S34" s="44">
        <f ca="1">IFERROR(__xludf.DUMMYFUNCTION("""COMPUTED_VALUE"""),13.2967287308228)</f>
        <v>13.296728730822799</v>
      </c>
      <c r="T34" s="55">
        <f ca="1">IFERROR(__xludf.DUMMYFUNCTION("""COMPUTED_VALUE"""),12.044640864714)</f>
        <v>12.044640864713999</v>
      </c>
      <c r="U34" s="55">
        <f ca="1">IFERROR(__xludf.DUMMYFUNCTION("""COMPUTED_VALUE"""),1.25208786610878)</f>
        <v>1.25208786610878</v>
      </c>
      <c r="V34" s="55">
        <f ca="1">IFERROR(__xludf.DUMMYFUNCTION("""COMPUTED_VALUE"""),5.93027947799258)</f>
        <v>5.9302794779925803</v>
      </c>
      <c r="W34" s="54">
        <f ca="1">IFERROR(__xludf.DUMMYFUNCTION("""COMPUTED_VALUE"""),5.37185408424771)</f>
        <v>5.37185408424771</v>
      </c>
      <c r="X34" s="54">
        <f ca="1">IFERROR(__xludf.DUMMYFUNCTION("""COMPUTED_VALUE"""),0.558425393744869)</f>
        <v>0.55842539374486899</v>
      </c>
      <c r="Y34" s="52">
        <f ca="1">IFERROR(__xludf.DUMMYFUNCTION("""COMPUTED_VALUE"""),1.25208786610878)</f>
        <v>1.25208786610878</v>
      </c>
      <c r="Z34" s="51">
        <f ca="1">IFERROR(__xludf.DUMMYFUNCTION("""COMPUTED_VALUE"""),359.651006711409)</f>
        <v>359.65100671140902</v>
      </c>
      <c r="AA34" s="52" t="str">
        <f ca="1">IFERROR(__xludf.DUMMYFUNCTION("""COMPUTED_VALUE"""),"VERY GOOD")</f>
        <v>VERY GOOD</v>
      </c>
    </row>
    <row r="35" spans="1:27" ht="14.25" x14ac:dyDescent="0.2">
      <c r="A35" s="41">
        <v>2023</v>
      </c>
      <c r="B35" s="42" t="s">
        <v>9</v>
      </c>
      <c r="C35" s="43" t="s">
        <v>80</v>
      </c>
      <c r="D35" s="44">
        <f ca="1">IFERROR(__xludf.DUMMYFUNCTION("""COMPUTED_VALUE"""),196358.74)</f>
        <v>196358.74</v>
      </c>
      <c r="E35" s="44">
        <f ca="1">IFERROR(__xludf.DUMMYFUNCTION("""COMPUTED_VALUE"""),166335.73)</f>
        <v>166335.73000000001</v>
      </c>
      <c r="F35" s="44">
        <f t="shared" ca="1" si="0"/>
        <v>30023.00999999998</v>
      </c>
      <c r="G35" s="45" t="str">
        <f ca="1">IFERROR(__xludf.DUMMYFUNCTION("""COMPUTED_VALUE"""),"Chop Cheong Bee Sdn Bhd")</f>
        <v>Chop Cheong Bee Sdn Bhd</v>
      </c>
      <c r="H35" s="46">
        <f ca="1">IFERROR(__xludf.DUMMYFUNCTION("""COMPUTED_VALUE"""),15000)</f>
        <v>15000</v>
      </c>
      <c r="I35" s="47">
        <f ca="1">IFERROR(__xludf.DUMMYFUNCTION("""COMPUTED_VALUE"""),2.02)</f>
        <v>2.02</v>
      </c>
      <c r="J35" s="46">
        <f ca="1">IFERROR(__xludf.DUMMYFUNCTION("""COMPUTED_VALUE"""),370)</f>
        <v>370</v>
      </c>
      <c r="K35" s="48">
        <f ca="1">IFERROR(__xludf.DUMMYFUNCTION("""COMPUTED_VALUE"""),0.0247)</f>
        <v>2.47E-2</v>
      </c>
      <c r="L35" s="48">
        <f ca="1">IFERROR(__xludf.DUMMYFUNCTION("""COMPUTED_VALUE"""),0.975333333333333)</f>
        <v>0.97533333333333305</v>
      </c>
      <c r="M35" s="49">
        <f ca="1">IFERROR(__xludf.DUMMYFUNCTION("""COMPUTED_VALUE"""),35)</f>
        <v>35</v>
      </c>
      <c r="N35" s="49">
        <f ca="1">IFERROR(__xludf.DUMMYFUNCTION("""COMPUTED_VALUE"""),993.4632)</f>
        <v>993.46320000000003</v>
      </c>
      <c r="O35" s="47">
        <f ca="1">IFERROR(__xludf.DUMMYFUNCTION("""COMPUTED_VALUE"""),1.5)</f>
        <v>1.5</v>
      </c>
      <c r="P35" s="46">
        <f ca="1">IFERROR(__xludf.DUMMYFUNCTION("""COMPUTED_VALUE"""),14630)</f>
        <v>14630</v>
      </c>
      <c r="Q35" s="44">
        <f ca="1">IFERROR(__xludf.DUMMYFUNCTION("""COMPUTED_VALUE"""),33115.44)</f>
        <v>33115.440000000002</v>
      </c>
      <c r="R35" s="44">
        <f ca="1">IFERROR(__xludf.DUMMYFUNCTION("""COMPUTED_VALUE"""),2.26352973342447)</f>
        <v>2.2635297334244702</v>
      </c>
      <c r="S35" s="44">
        <f ca="1">IFERROR(__xludf.DUMMYFUNCTION("""COMPUTED_VALUE"""),13.4216500341763)</f>
        <v>13.421650034176301</v>
      </c>
      <c r="T35" s="44">
        <f ca="1">IFERROR(__xludf.DUMMYFUNCTION("""COMPUTED_VALUE"""),11.3694962406015)</f>
        <v>11.369496240601499</v>
      </c>
      <c r="U35" s="44">
        <f ca="1">IFERROR(__xludf.DUMMYFUNCTION("""COMPUTED_VALUE"""),2.05215379357484)</f>
        <v>2.0521537935748402</v>
      </c>
      <c r="V35" s="46">
        <f ca="1">IFERROR(__xludf.DUMMYFUNCTION("""COMPUTED_VALUE"""),5.92952230137965)</f>
        <v>5.9295223013796496</v>
      </c>
      <c r="W35" s="54">
        <f ca="1">IFERROR(__xludf.DUMMYFUNCTION("""COMPUTED_VALUE"""),5.02290562951904)</f>
        <v>5.0229056295190402</v>
      </c>
      <c r="X35" s="54">
        <f ca="1">IFERROR(__xludf.DUMMYFUNCTION("""COMPUTED_VALUE"""),0.906616671860617)</f>
        <v>0.90661667186061701</v>
      </c>
      <c r="Y35" s="52">
        <f ca="1">IFERROR(__xludf.DUMMYFUNCTION("""COMPUTED_VALUE"""),2.05215379357484)</f>
        <v>2.0521537935748402</v>
      </c>
      <c r="Z35" s="51">
        <f ca="1">IFERROR(__xludf.DUMMYFUNCTION("""COMPUTED_VALUE"""),367.949333333333)</f>
        <v>367.94933333333302</v>
      </c>
      <c r="AA35" s="52" t="str">
        <f ca="1">IFERROR(__xludf.DUMMYFUNCTION("""COMPUTED_VALUE"""),"VERY GOOD")</f>
        <v>VERY GOOD</v>
      </c>
    </row>
    <row r="36" spans="1:27" ht="14.25" x14ac:dyDescent="0.2">
      <c r="A36" s="41">
        <v>2023</v>
      </c>
      <c r="B36" s="42" t="s">
        <v>9</v>
      </c>
      <c r="C36" s="43" t="s">
        <v>81</v>
      </c>
      <c r="D36" s="44">
        <f ca="1">IFERROR(__xludf.DUMMYFUNCTION("""COMPUTED_VALUE"""),205946.35)</f>
        <v>205946.35</v>
      </c>
      <c r="E36" s="44">
        <f ca="1">IFERROR(__xludf.DUMMYFUNCTION("""COMPUTED_VALUE"""),176814.82)</f>
        <v>176814.82</v>
      </c>
      <c r="F36" s="44">
        <f t="shared" ca="1" si="0"/>
        <v>29131.53</v>
      </c>
      <c r="G36" s="45" t="str">
        <f ca="1">IFERROR(__xludf.DUMMYFUNCTION("""COMPUTED_VALUE"""),"Chop Cheong Bee Sdn Bhd")</f>
        <v>Chop Cheong Bee Sdn Bhd</v>
      </c>
      <c r="H36" s="46">
        <f ca="1">IFERROR(__xludf.DUMMYFUNCTION("""COMPUTED_VALUE"""),15000)</f>
        <v>15000</v>
      </c>
      <c r="I36" s="47">
        <f ca="1">IFERROR(__xludf.DUMMYFUNCTION("""COMPUTED_VALUE"""),2.03)</f>
        <v>2.0299999999999998</v>
      </c>
      <c r="J36" s="46">
        <f ca="1">IFERROR(__xludf.DUMMYFUNCTION("""COMPUTED_VALUE"""),450)</f>
        <v>450</v>
      </c>
      <c r="K36" s="48">
        <f ca="1">IFERROR(__xludf.DUMMYFUNCTION("""COMPUTED_VALUE"""),0.03)</f>
        <v>0.03</v>
      </c>
      <c r="L36" s="48">
        <f ca="1">IFERROR(__xludf.DUMMYFUNCTION("""COMPUTED_VALUE"""),0.97)</f>
        <v>0.97</v>
      </c>
      <c r="M36" s="49">
        <f ca="1">IFERROR(__xludf.DUMMYFUNCTION("""COMPUTED_VALUE"""),35)</f>
        <v>35</v>
      </c>
      <c r="N36" s="49">
        <f ca="1">IFERROR(__xludf.DUMMYFUNCTION("""COMPUTED_VALUE"""),1084.2986)</f>
        <v>1084.2986000000001</v>
      </c>
      <c r="O36" s="47">
        <f ca="1">IFERROR(__xludf.DUMMYFUNCTION("""COMPUTED_VALUE"""),1.54)</f>
        <v>1.54</v>
      </c>
      <c r="P36" s="46">
        <f ca="1">IFERROR(__xludf.DUMMYFUNCTION("""COMPUTED_VALUE"""),14550)</f>
        <v>14550</v>
      </c>
      <c r="Q36" s="44">
        <f ca="1">IFERROR(__xludf.DUMMYFUNCTION("""COMPUTED_VALUE"""),35204.5)</f>
        <v>35204.5</v>
      </c>
      <c r="R36" s="44">
        <f ca="1">IFERROR(__xludf.DUMMYFUNCTION("""COMPUTED_VALUE"""),2.41955326460481)</f>
        <v>2.4195532646048101</v>
      </c>
      <c r="S36" s="44">
        <f ca="1">IFERROR(__xludf.DUMMYFUNCTION("""COMPUTED_VALUE"""),14.1543883161512)</f>
        <v>14.1543883161512</v>
      </c>
      <c r="T36" s="44">
        <f ca="1">IFERROR(__xludf.DUMMYFUNCTION("""COMPUTED_VALUE"""),12.1522213058419)</f>
        <v>12.1522213058419</v>
      </c>
      <c r="U36" s="44">
        <f ca="1">IFERROR(__xludf.DUMMYFUNCTION("""COMPUTED_VALUE"""),2.00216701030927)</f>
        <v>2.0021670103092699</v>
      </c>
      <c r="V36" s="44">
        <f ca="1">IFERROR(__xludf.DUMMYFUNCTION("""COMPUTED_VALUE"""),5.85000071013648)</f>
        <v>5.8500007101364799</v>
      </c>
      <c r="W36" s="54">
        <f ca="1">IFERROR(__xludf.DUMMYFUNCTION("""COMPUTED_VALUE"""),5.02250621369427)</f>
        <v>5.0225062136942702</v>
      </c>
      <c r="X36" s="54">
        <f ca="1">IFERROR(__xludf.DUMMYFUNCTION("""COMPUTED_VALUE"""),0.827494496442216)</f>
        <v>0.82749449644221595</v>
      </c>
      <c r="Y36" s="52">
        <f ca="1">IFERROR(__xludf.DUMMYFUNCTION("""COMPUTED_VALUE"""),2.00216701030927)</f>
        <v>2.0021670103092699</v>
      </c>
      <c r="Z36" s="51">
        <f ca="1">IFERROR(__xludf.DUMMYFUNCTION("""COMPUTED_VALUE"""),381.001082251082)</f>
        <v>381.00108225108198</v>
      </c>
      <c r="AA36" s="52" t="str">
        <f ca="1">IFERROR(__xludf.DUMMYFUNCTION("""COMPUTED_VALUE"""),"VERY GOOD")</f>
        <v>VERY GOOD</v>
      </c>
    </row>
    <row r="37" spans="1:27" ht="14.25" x14ac:dyDescent="0.2">
      <c r="A37" s="56">
        <v>2024</v>
      </c>
      <c r="B37" s="57" t="s">
        <v>5</v>
      </c>
      <c r="C37" s="58" t="s">
        <v>84</v>
      </c>
      <c r="D37" s="59">
        <v>446501.15</v>
      </c>
      <c r="E37" s="59">
        <v>442766.34</v>
      </c>
      <c r="F37" s="59">
        <f t="shared" si="0"/>
        <v>3734.8099999999977</v>
      </c>
      <c r="G37" s="60" t="str">
        <f ca="1">IFERROR(__xludf.DUMMYFUNCTION("TRANSPOSE(IMPORTRANGE(""1o4Ac6NI0SfLibsumFt9f9lHwJFVrF2ykccRsQvuxGAI"", ""2024!C49:G69""))"),"Kee Sung Agriculture (M) Sdn Bhd")</f>
        <v>Kee Sung Agriculture (M) Sdn Bhd</v>
      </c>
      <c r="H37" s="61">
        <f ca="1">IFERROR(__xludf.DUMMYFUNCTION("""COMPUTED_VALUE"""),35000)</f>
        <v>35000</v>
      </c>
      <c r="I37" s="62">
        <f ca="1">IFERROR(__xludf.DUMMYFUNCTION("""COMPUTED_VALUE"""),2.13)</f>
        <v>2.13</v>
      </c>
      <c r="J37" s="61">
        <f ca="1">IFERROR(__xludf.DUMMYFUNCTION("""COMPUTED_VALUE"""),2691)</f>
        <v>2691</v>
      </c>
      <c r="K37" s="63">
        <f ca="1">IFERROR(__xludf.DUMMYFUNCTION("""COMPUTED_VALUE"""),0.0768857142857142)</f>
        <v>7.6885714285714196E-2</v>
      </c>
      <c r="L37" s="63">
        <f ca="1">IFERROR(__xludf.DUMMYFUNCTION("""COMPUTED_VALUE"""),0.923114285714285)</f>
        <v>0.923114285714285</v>
      </c>
      <c r="M37" s="64">
        <f ca="1">IFERROR(__xludf.DUMMYFUNCTION("""COMPUTED_VALUE"""),35)</f>
        <v>35</v>
      </c>
      <c r="N37" s="61">
        <f ca="1">IFERROR(__xludf.DUMMYFUNCTION("""COMPUTED_VALUE"""),2583.87)</f>
        <v>2583.87</v>
      </c>
      <c r="O37" s="62">
        <f ca="1">IFERROR(__xludf.DUMMYFUNCTION("""COMPUTED_VALUE"""),1.72)</f>
        <v>1.72</v>
      </c>
      <c r="P37" s="61">
        <f ca="1">IFERROR(__xludf.DUMMYFUNCTION("""COMPUTED_VALUE"""),32309)</f>
        <v>32309</v>
      </c>
      <c r="Q37" s="59">
        <f ca="1">IFERROR(__xludf.DUMMYFUNCTION("""COMPUTED_VALUE"""),75112.5)</f>
        <v>75112.5</v>
      </c>
      <c r="R37" s="59">
        <f ca="1">IFERROR(__xludf.DUMMYFUNCTION("""COMPUTED_VALUE"""),2.3248166145656)</f>
        <v>2.3248166145656</v>
      </c>
      <c r="S37" s="59">
        <f ca="1">IFERROR(__xludf.DUMMYFUNCTION("""COMPUTED_VALUE"""),13.819714321087)</f>
        <v>13.819714321087</v>
      </c>
      <c r="T37" s="65">
        <f ca="1">IFERROR(__xludf.DUMMYFUNCTION("""COMPUTED_VALUE"""),13.7041177380915)</f>
        <v>13.704117738091499</v>
      </c>
      <c r="U37" s="65">
        <f ca="1">IFERROR(__xludf.DUMMYFUNCTION("""COMPUTED_VALUE"""),0.115596582995447)</f>
        <v>0.11559658299544701</v>
      </c>
      <c r="V37" s="65">
        <f ca="1">IFERROR(__xludf.DUMMYFUNCTION("""COMPUTED_VALUE"""),5.9444320186387)</f>
        <v>5.9444320186387003</v>
      </c>
      <c r="W37" s="65">
        <f ca="1">IFERROR(__xludf.DUMMYFUNCTION("""COMPUTED_VALUE"""),5.89470913629555)</f>
        <v>5.8947091362955497</v>
      </c>
      <c r="X37" s="65">
        <f ca="1">IFERROR(__xludf.DUMMYFUNCTION("""COMPUTED_VALUE"""),0.0497228823431514)</f>
        <v>4.9722882343151399E-2</v>
      </c>
      <c r="Y37" s="65">
        <f ca="1">IFERROR(__xludf.DUMMYFUNCTION("""COMPUTED_VALUE"""),0.115596582995448)</f>
        <v>0.11559658299544801</v>
      </c>
      <c r="Z37" s="66">
        <f ca="1">IFERROR(__xludf.DUMMYFUNCTION("""COMPUTED_VALUE"""),356.490270526815)</f>
        <v>356.49027052681498</v>
      </c>
      <c r="AA37" s="67" t="str">
        <f ca="1">IFERROR(__xludf.DUMMYFUNCTION("""COMPUTED_VALUE"""),"VERY BAD")</f>
        <v>VERY BAD</v>
      </c>
    </row>
    <row r="38" spans="1:27" ht="14.25" x14ac:dyDescent="0.2">
      <c r="A38" s="56">
        <v>2024</v>
      </c>
      <c r="B38" s="57" t="s">
        <v>5</v>
      </c>
      <c r="C38" s="58" t="s">
        <v>85</v>
      </c>
      <c r="D38" s="59">
        <v>448473.34</v>
      </c>
      <c r="E38" s="59">
        <v>437963.43</v>
      </c>
      <c r="F38" s="59">
        <f t="shared" si="0"/>
        <v>10509.910000000033</v>
      </c>
      <c r="G38" s="60" t="str">
        <f ca="1">IFERROR(__xludf.DUMMYFUNCTION("""COMPUTED_VALUE"""),"Kee Sung Agriculture (M) Sdn Bhd")</f>
        <v>Kee Sung Agriculture (M) Sdn Bhd</v>
      </c>
      <c r="H38" s="61">
        <f ca="1">IFERROR(__xludf.DUMMYFUNCTION("""COMPUTED_VALUE"""),36600)</f>
        <v>36600</v>
      </c>
      <c r="I38" s="62">
        <f ca="1">IFERROR(__xludf.DUMMYFUNCTION("""COMPUTED_VALUE"""),2.13)</f>
        <v>2.13</v>
      </c>
      <c r="J38" s="61">
        <f ca="1">IFERROR(__xludf.DUMMYFUNCTION("""COMPUTED_VALUE"""),2645)</f>
        <v>2645</v>
      </c>
      <c r="K38" s="63">
        <f ca="1">IFERROR(__xludf.DUMMYFUNCTION("""COMPUTED_VALUE"""),0.0722677595628415)</f>
        <v>7.2267759562841496E-2</v>
      </c>
      <c r="L38" s="63">
        <f ca="1">IFERROR(__xludf.DUMMYFUNCTION("""COMPUTED_VALUE"""),0.927732240437158)</f>
        <v>0.92773224043715796</v>
      </c>
      <c r="M38" s="64">
        <f ca="1">IFERROR(__xludf.DUMMYFUNCTION("""COMPUTED_VALUE"""),35)</f>
        <v>35</v>
      </c>
      <c r="N38" s="61">
        <f ca="1">IFERROR(__xludf.DUMMYFUNCTION("""COMPUTED_VALUE"""),2490.63869999999)</f>
        <v>2490.63869999999</v>
      </c>
      <c r="O38" s="62">
        <f ca="1">IFERROR(__xludf.DUMMYFUNCTION("""COMPUTED_VALUE"""),1.65)</f>
        <v>1.65</v>
      </c>
      <c r="P38" s="61">
        <f ca="1">IFERROR(__xludf.DUMMYFUNCTION("""COMPUTED_VALUE"""),33955)</f>
        <v>33955</v>
      </c>
      <c r="Q38" s="59">
        <f ca="1">IFERROR(__xludf.DUMMYFUNCTION("""COMPUTED_VALUE"""),75473.9)</f>
        <v>75473.899999999994</v>
      </c>
      <c r="R38" s="59">
        <f ca="1">IFERROR(__xludf.DUMMYFUNCTION("""COMPUTED_VALUE"""),2.22276247975261)</f>
        <v>2.22276247975261</v>
      </c>
      <c r="S38" s="59">
        <f ca="1">IFERROR(__xludf.DUMMYFUNCTION("""COMPUTED_VALUE"""),13.1979531733176)</f>
        <v>13.1979531733176</v>
      </c>
      <c r="T38" s="65">
        <f ca="1">IFERROR(__xludf.DUMMYFUNCTION("""COMPUTED_VALUE"""),12.8983486968045)</f>
        <v>12.898348696804501</v>
      </c>
      <c r="U38" s="65">
        <f ca="1">IFERROR(__xludf.DUMMYFUNCTION("""COMPUTED_VALUE"""),0.299604476513032)</f>
        <v>0.29960447651303201</v>
      </c>
      <c r="V38" s="65">
        <f ca="1">IFERROR(__xludf.DUMMYFUNCTION("""COMPUTED_VALUE"""),5.93763539448736)</f>
        <v>5.9376353944873603</v>
      </c>
      <c r="W38" s="65">
        <f ca="1">IFERROR(__xludf.DUMMYFUNCTION("""COMPUTED_VALUE"""),5.80284614946359)</f>
        <v>5.8028461494635897</v>
      </c>
      <c r="X38" s="65">
        <f ca="1">IFERROR(__xludf.DUMMYFUNCTION("""COMPUTED_VALUE"""),0.134789245023776)</f>
        <v>0.13478924502377601</v>
      </c>
      <c r="Y38" s="65">
        <f ca="1">IFERROR(__xludf.DUMMYFUNCTION("""COMPUTED_VALUE"""),0.309524664997792)</f>
        <v>0.30952466499779202</v>
      </c>
      <c r="Z38" s="66">
        <f ca="1">IFERROR(__xludf.DUMMYFUNCTION("""COMPUTED_VALUE"""),357.078513471956)</f>
        <v>357.078513471956</v>
      </c>
      <c r="AA38" s="67" t="str">
        <f ca="1">IFERROR(__xludf.DUMMYFUNCTION("""COMPUTED_VALUE"""),"VERY BAD")</f>
        <v>VERY BAD</v>
      </c>
    </row>
    <row r="39" spans="1:27" ht="14.25" x14ac:dyDescent="0.2">
      <c r="A39" s="56">
        <v>2024</v>
      </c>
      <c r="B39" s="57" t="s">
        <v>5</v>
      </c>
      <c r="C39" s="58" t="s">
        <v>86</v>
      </c>
      <c r="D39" s="59">
        <v>219283.71</v>
      </c>
      <c r="E39" s="59">
        <v>231534.81</v>
      </c>
      <c r="F39" s="59">
        <f t="shared" si="0"/>
        <v>-12251.100000000006</v>
      </c>
      <c r="G39" s="60" t="str">
        <f ca="1">IFERROR(__xludf.DUMMYFUNCTION("""COMPUTED_VALUE"""),"Kee Sung Agriculture (M) Sdn Bhd")</f>
        <v>Kee Sung Agriculture (M) Sdn Bhd</v>
      </c>
      <c r="H39" s="61">
        <f ca="1">IFERROR(__xludf.DUMMYFUNCTION("""COMPUTED_VALUE"""),18500)</f>
        <v>18500</v>
      </c>
      <c r="I39" s="62">
        <f ca="1">IFERROR(__xludf.DUMMYFUNCTION("""COMPUTED_VALUE"""),2.13)</f>
        <v>2.13</v>
      </c>
      <c r="J39" s="61">
        <f ca="1">IFERROR(__xludf.DUMMYFUNCTION("""COMPUTED_VALUE"""),1301)</f>
        <v>1301</v>
      </c>
      <c r="K39" s="63">
        <f ca="1">IFERROR(__xludf.DUMMYFUNCTION("""COMPUTED_VALUE"""),0.0703243243243243)</f>
        <v>7.0324324324324297E-2</v>
      </c>
      <c r="L39" s="63">
        <f ca="1">IFERROR(__xludf.DUMMYFUNCTION("""COMPUTED_VALUE"""),0.929675675675675)</f>
        <v>0.929675675675675</v>
      </c>
      <c r="M39" s="64">
        <f ca="1">IFERROR(__xludf.DUMMYFUNCTION("""COMPUTED_VALUE"""),35)</f>
        <v>35</v>
      </c>
      <c r="N39" s="61">
        <f ca="1">IFERROR(__xludf.DUMMYFUNCTION("""COMPUTED_VALUE"""),1216.1952)</f>
        <v>1216.1952000000001</v>
      </c>
      <c r="O39" s="62">
        <f ca="1">IFERROR(__xludf.DUMMYFUNCTION("""COMPUTED_VALUE"""),1.65)</f>
        <v>1.65</v>
      </c>
      <c r="P39" s="61">
        <f ca="1">IFERROR(__xludf.DUMMYFUNCTION("""COMPUTED_VALUE"""),17199)</f>
        <v>17199</v>
      </c>
      <c r="Q39" s="59">
        <f ca="1">IFERROR(__xludf.DUMMYFUNCTION("""COMPUTED_VALUE"""),36854.4)</f>
        <v>36854.400000000001</v>
      </c>
      <c r="R39" s="59">
        <f ca="1">IFERROR(__xludf.DUMMYFUNCTION("""COMPUTED_VALUE"""),2.14282225710797)</f>
        <v>2.1428222571079698</v>
      </c>
      <c r="S39" s="59">
        <f ca="1">IFERROR(__xludf.DUMMYFUNCTION("""COMPUTED_VALUE"""),12.7497941740798)</f>
        <v>12.749794174079801</v>
      </c>
      <c r="T39" s="65">
        <f ca="1">IFERROR(__xludf.DUMMYFUNCTION("""COMPUTED_VALUE"""),13.4621088435374)</f>
        <v>13.462108843537401</v>
      </c>
      <c r="U39" s="65">
        <f ca="1">IFERROR(__xludf.DUMMYFUNCTION("""COMPUTED_VALUE"""),-0.712314669457526)</f>
        <v>-0.71231466945752597</v>
      </c>
      <c r="V39" s="65">
        <f ca="1">IFERROR(__xludf.DUMMYFUNCTION("""COMPUTED_VALUE"""),5.95000081401406)</f>
        <v>5.9500008140140599</v>
      </c>
      <c r="W39" s="65">
        <f ca="1">IFERROR(__xludf.DUMMYFUNCTION("""COMPUTED_VALUE"""),6.28241973821307)</f>
        <v>6.2824197382130702</v>
      </c>
      <c r="X39" s="65">
        <f ca="1">IFERROR(__xludf.DUMMYFUNCTION("""COMPUTED_VALUE"""),-0.33241892419901)</f>
        <v>-0.33241892419900998</v>
      </c>
      <c r="Y39" s="65">
        <f ca="1">IFERROR(__xludf.DUMMYFUNCTION("""COMPUTED_VALUE"""),-0.712314669457527)</f>
        <v>-0.71231466945752697</v>
      </c>
      <c r="Z39" s="66">
        <f ca="1">IFERROR(__xludf.DUMMYFUNCTION("""COMPUTED_VALUE"""),344.957528957529)</f>
        <v>344.95752895752901</v>
      </c>
      <c r="AA39" s="67" t="str">
        <f ca="1">IFERROR(__xludf.DUMMYFUNCTION("""COMPUTED_VALUE"""),"VERY BAD")</f>
        <v>VERY BAD</v>
      </c>
    </row>
    <row r="40" spans="1:27" ht="14.25" x14ac:dyDescent="0.2">
      <c r="A40" s="56">
        <v>2024</v>
      </c>
      <c r="B40" s="57" t="s">
        <v>5</v>
      </c>
      <c r="C40" s="58" t="s">
        <v>87</v>
      </c>
      <c r="D40" s="59">
        <v>270373.8</v>
      </c>
      <c r="E40" s="59">
        <v>299993.19</v>
      </c>
      <c r="F40" s="59">
        <f t="shared" si="0"/>
        <v>-29619.390000000014</v>
      </c>
      <c r="G40" s="60" t="str">
        <f ca="1">IFERROR(__xludf.DUMMYFUNCTION("""COMPUTED_VALUE"""),"Kee Sung Agriculture (M) Sdn Bhd")</f>
        <v>Kee Sung Agriculture (M) Sdn Bhd</v>
      </c>
      <c r="H40" s="61">
        <f ca="1">IFERROR(__xludf.DUMMYFUNCTION("""COMPUTED_VALUE"""),24000)</f>
        <v>24000</v>
      </c>
      <c r="I40" s="62">
        <f ca="1">IFERROR(__xludf.DUMMYFUNCTION("""COMPUTED_VALUE"""),2.13)</f>
        <v>2.13</v>
      </c>
      <c r="J40" s="61">
        <f ca="1">IFERROR(__xludf.DUMMYFUNCTION("""COMPUTED_VALUE"""),3154)</f>
        <v>3154</v>
      </c>
      <c r="K40" s="63">
        <f ca="1">IFERROR(__xludf.DUMMYFUNCTION("""COMPUTED_VALUE"""),0.131416666666666)</f>
        <v>0.13141666666666599</v>
      </c>
      <c r="L40" s="63">
        <f ca="1">IFERROR(__xludf.DUMMYFUNCTION("""COMPUTED_VALUE"""),0.868583333333333)</f>
        <v>0.86858333333333304</v>
      </c>
      <c r="M40" s="64">
        <f ca="1">IFERROR(__xludf.DUMMYFUNCTION("""COMPUTED_VALUE"""),35)</f>
        <v>35</v>
      </c>
      <c r="N40" s="61">
        <f ca="1">IFERROR(__xludf.DUMMYFUNCTION("""COMPUTED_VALUE"""),1696.4204)</f>
        <v>1696.4204</v>
      </c>
      <c r="O40" s="62">
        <f ca="1">IFERROR(__xludf.DUMMYFUNCTION("""COMPUTED_VALUE"""),1.85)</f>
        <v>1.85</v>
      </c>
      <c r="P40" s="61">
        <f ca="1">IFERROR(__xludf.DUMMYFUNCTION("""COMPUTED_VALUE"""),20846)</f>
        <v>20846</v>
      </c>
      <c r="Q40" s="59">
        <f ca="1">IFERROR(__xludf.DUMMYFUNCTION("""COMPUTED_VALUE"""),45849.2)</f>
        <v>45849.2</v>
      </c>
      <c r="R40" s="59">
        <f ca="1">IFERROR(__xludf.DUMMYFUNCTION("""COMPUTED_VALUE"""),2.1994243499952)</f>
        <v>2.1994243499952</v>
      </c>
      <c r="S40" s="59">
        <f ca="1">IFERROR(__xludf.DUMMYFUNCTION("""COMPUTED_VALUE"""),12.9700566055838)</f>
        <v>12.9700566055838</v>
      </c>
      <c r="T40" s="65">
        <f ca="1">IFERROR(__xludf.DUMMYFUNCTION("""COMPUTED_VALUE"""),14.3909234385493)</f>
        <v>14.390923438549301</v>
      </c>
      <c r="U40" s="65">
        <f ca="1">IFERROR(__xludf.DUMMYFUNCTION("""COMPUTED_VALUE"""),-1.42086683296555)</f>
        <v>-1.4208668329655501</v>
      </c>
      <c r="V40" s="65">
        <f ca="1">IFERROR(__xludf.DUMMYFUNCTION("""COMPUTED_VALUE"""),5.89702328503005)</f>
        <v>5.8970232850300501</v>
      </c>
      <c r="W40" s="65">
        <f ca="1">IFERROR(__xludf.DUMMYFUNCTION("""COMPUTED_VALUE"""),6.54304088184744)</f>
        <v>6.5430408818474399</v>
      </c>
      <c r="X40" s="65">
        <f ca="1">IFERROR(__xludf.DUMMYFUNCTION("""COMPUTED_VALUE"""),-0.646017596817392)</f>
        <v>-0.64601759681739201</v>
      </c>
      <c r="Y40" s="65">
        <f ca="1">IFERROR(__xludf.DUMMYFUNCTION("""COMPUTED_VALUE"""),-1.42086683296555)</f>
        <v>-1.4208668329655501</v>
      </c>
      <c r="Z40" s="66">
        <f ca="1">IFERROR(__xludf.DUMMYFUNCTION("""COMPUTED_VALUE"""),295.039897039897)</f>
        <v>295.03989703989703</v>
      </c>
      <c r="AA40" s="67" t="str">
        <f ca="1">IFERROR(__xludf.DUMMYFUNCTION("""COMPUTED_VALUE"""),"VERY BAD")</f>
        <v>VERY BAD</v>
      </c>
    </row>
    <row r="41" spans="1:27" ht="14.25" x14ac:dyDescent="0.2">
      <c r="A41" s="56">
        <v>2024</v>
      </c>
      <c r="B41" s="57" t="s">
        <v>5</v>
      </c>
      <c r="C41" s="58" t="s">
        <v>88</v>
      </c>
      <c r="D41" s="59">
        <v>382026.35</v>
      </c>
      <c r="E41" s="59">
        <v>410344.47</v>
      </c>
      <c r="F41" s="59">
        <f t="shared" si="0"/>
        <v>-28318.119999999995</v>
      </c>
      <c r="G41" s="68" t="str">
        <f ca="1">IFERROR(__xludf.DUMMYFUNCTION("""COMPUTED_VALUE"""),"Goldform Corporation Sdn Bhd")</f>
        <v>Goldform Corporation Sdn Bhd</v>
      </c>
      <c r="H41" s="61">
        <f ca="1">IFERROR(__xludf.DUMMYFUNCTION("""COMPUTED_VALUE"""),30000)</f>
        <v>30000</v>
      </c>
      <c r="I41" s="62">
        <f ca="1">IFERROR(__xludf.DUMMYFUNCTION("""COMPUTED_VALUE"""),1.85)</f>
        <v>1.85</v>
      </c>
      <c r="J41" s="61">
        <f ca="1">IFERROR(__xludf.DUMMYFUNCTION("""COMPUTED_VALUE"""),1526)</f>
        <v>1526</v>
      </c>
      <c r="K41" s="63">
        <f ca="1">IFERROR(__xludf.DUMMYFUNCTION("""COMPUTED_VALUE"""),0.0508666666666666)</f>
        <v>5.0866666666666602E-2</v>
      </c>
      <c r="L41" s="63">
        <f ca="1">IFERROR(__xludf.DUMMYFUNCTION("""COMPUTED_VALUE"""),0.949133333333333)</f>
        <v>0.94913333333333305</v>
      </c>
      <c r="M41" s="64">
        <f ca="1">IFERROR(__xludf.DUMMYFUNCTION("""COMPUTED_VALUE"""),35)</f>
        <v>35</v>
      </c>
      <c r="N41" s="61">
        <f ca="1">IFERROR(__xludf.DUMMYFUNCTION("""COMPUTED_VALUE"""),2204.77182)</f>
        <v>2204.7718199999999</v>
      </c>
      <c r="O41" s="62">
        <f ca="1">IFERROR(__xludf.DUMMYFUNCTION("""COMPUTED_VALUE"""),1.7)</f>
        <v>1.7</v>
      </c>
      <c r="P41" s="69">
        <f ca="1">IFERROR(__xludf.DUMMYFUNCTION("""COMPUTED_VALUE"""),28474)</f>
        <v>28474</v>
      </c>
      <c r="Q41" s="59">
        <f ca="1">IFERROR(__xludf.DUMMYFUNCTION("""COMPUTED_VALUE"""),64846.23)</f>
        <v>64846.23</v>
      </c>
      <c r="R41" s="59">
        <f ca="1">IFERROR(__xludf.DUMMYFUNCTION("""COMPUTED_VALUE"""),2.27738392919856)</f>
        <v>2.2773839291985598</v>
      </c>
      <c r="S41" s="59">
        <f ca="1">IFERROR(__xludf.DUMMYFUNCTION("""COMPUTED_VALUE"""),13.416673105289)</f>
        <v>13.416673105289</v>
      </c>
      <c r="T41" s="65">
        <f ca="1">IFERROR(__xludf.DUMMYFUNCTION("""COMPUTED_VALUE"""),14.4111986373533)</f>
        <v>14.4111986373533</v>
      </c>
      <c r="U41" s="65">
        <f ca="1">IFERROR(__xludf.DUMMYFUNCTION("""COMPUTED_VALUE"""),-0.994525532064342)</f>
        <v>-0.99452553206434202</v>
      </c>
      <c r="V41" s="65">
        <f ca="1">IFERROR(__xludf.DUMMYFUNCTION("""COMPUTED_VALUE"""),5.89126538273697)</f>
        <v>5.8912653827369699</v>
      </c>
      <c r="W41" s="65">
        <f ca="1">IFERROR(__xludf.DUMMYFUNCTION("""COMPUTED_VALUE"""),6.32796185684194)</f>
        <v>6.3279618568419398</v>
      </c>
      <c r="X41" s="65">
        <f ca="1">IFERROR(__xludf.DUMMYFUNCTION("""COMPUTED_VALUE"""),-0.436696474104972)</f>
        <v>-0.43669647410497198</v>
      </c>
      <c r="Y41" s="65">
        <f ca="1">IFERROR(__xludf.DUMMYFUNCTION("""COMPUTED_VALUE"""),-0.994525532064343)</f>
        <v>-0.99452553206434302</v>
      </c>
      <c r="Z41" s="66">
        <f ca="1">IFERROR(__xludf.DUMMYFUNCTION("""COMPUTED_VALUE"""),363.284201680672)</f>
        <v>363.28420168067203</v>
      </c>
      <c r="AA41" s="67" t="str">
        <f ca="1">IFERROR(__xludf.DUMMYFUNCTION("""COMPUTED_VALUE"""),"VERY BAD")</f>
        <v>VERY BAD</v>
      </c>
    </row>
    <row r="42" spans="1:27" ht="14.25" x14ac:dyDescent="0.2">
      <c r="A42" s="56">
        <v>2024</v>
      </c>
      <c r="B42" s="57" t="s">
        <v>8</v>
      </c>
      <c r="C42" s="58" t="s">
        <v>84</v>
      </c>
      <c r="D42" s="59">
        <f ca="1">IFERROR(__xludf.DUMMYFUNCTION("TRANSPOSE(IMPORTRANGE(""1OP-qxVLNURBqstk-WZQd8qB2vYxDQLc8s35zWl_CMzo"", ""2024!C12:H12""))"),497542.19)</f>
        <v>497542.19</v>
      </c>
      <c r="E42" s="59">
        <f ca="1">IFERROR(__xludf.DUMMYFUNCTION("TRANSPOSE(IMPORTRANGE(""1OP-qxVLNURBqstk-WZQd8qB2vYxDQLc8s35zWl_CMzo"", ""2024!C39:H39""))"),493648.99)</f>
        <v>493648.99</v>
      </c>
      <c r="F42" s="59">
        <f t="shared" ca="1" si="0"/>
        <v>3893.2000000000116</v>
      </c>
      <c r="G42" s="61" t="str">
        <f ca="1">IFERROR(__xludf.DUMMYFUNCTION("TRANSPOSE(IMPORTRANGE(""1OP-qxVLNURBqstk-WZQd8qB2vYxDQLc8s35zWl_CMzo"", ""2024!C47:H67""))"),"Chop Cheong Bee Sdn Bhd")</f>
        <v>Chop Cheong Bee Sdn Bhd</v>
      </c>
      <c r="H42" s="61">
        <f ca="1">IFERROR(__xludf.DUMMYFUNCTION("""COMPUTED_VALUE"""),42500)</f>
        <v>42500</v>
      </c>
      <c r="I42" s="62">
        <f ca="1">IFERROR(__xludf.DUMMYFUNCTION("""COMPUTED_VALUE"""),2.13)</f>
        <v>2.13</v>
      </c>
      <c r="J42" s="61">
        <f ca="1">IFERROR(__xludf.DUMMYFUNCTION("""COMPUTED_VALUE"""),1697)</f>
        <v>1697</v>
      </c>
      <c r="K42" s="63">
        <f ca="1">IFERROR(__xludf.DUMMYFUNCTION("""COMPUTED_VALUE"""),0.0399294117647058)</f>
        <v>3.9929411764705797E-2</v>
      </c>
      <c r="L42" s="63">
        <f ca="1">IFERROR(__xludf.DUMMYFUNCTION("""COMPUTED_VALUE"""),0.960070588235294)</f>
        <v>0.96007058823529401</v>
      </c>
      <c r="M42" s="64">
        <f ca="1">IFERROR(__xludf.DUMMYFUNCTION("""COMPUTED_VALUE"""),35)</f>
        <v>35</v>
      </c>
      <c r="N42" s="61">
        <f ca="1">IFERROR(__xludf.DUMMYFUNCTION("""COMPUTED_VALUE"""),2704.588092)</f>
        <v>2704.588092</v>
      </c>
      <c r="O42" s="62">
        <f ca="1">IFERROR(__xludf.DUMMYFUNCTION("""COMPUTED_VALUE"""),1.59)</f>
        <v>1.59</v>
      </c>
      <c r="P42" s="61">
        <f ca="1">IFERROR(__xludf.DUMMYFUNCTION("""COMPUTED_VALUE"""),40803)</f>
        <v>40803</v>
      </c>
      <c r="Q42" s="59">
        <f ca="1">IFERROR(__xludf.DUMMYFUNCTION("""COMPUTED_VALUE"""),85049.94)</f>
        <v>85049.94</v>
      </c>
      <c r="R42" s="59">
        <f ca="1">IFERROR(__xludf.DUMMYFUNCTION("""COMPUTED_VALUE"""),2.08440408793471)</f>
        <v>2.0844040879347099</v>
      </c>
      <c r="S42" s="59">
        <f ca="1">IFERROR(__xludf.DUMMYFUNCTION("""COMPUTED_VALUE"""),12.1937649192461)</f>
        <v>12.1937649192461</v>
      </c>
      <c r="T42" s="65">
        <f ca="1">IFERROR(__xludf.DUMMYFUNCTION("""COMPUTED_VALUE"""),12.0983503663946)</f>
        <v>12.0983503663946</v>
      </c>
      <c r="U42" s="65">
        <f ca="1">IFERROR(__xludf.DUMMYFUNCTION("""COMPUTED_VALUE"""),0.0954145528515049)</f>
        <v>9.5414552851504894E-2</v>
      </c>
      <c r="V42" s="65">
        <f ca="1">IFERROR(__xludf.DUMMYFUNCTION("""COMPUTED_VALUE"""),5.85000048206971)</f>
        <v>5.85000048206971</v>
      </c>
      <c r="W42" s="65">
        <f ca="1">IFERROR(__xludf.DUMMYFUNCTION("""COMPUTED_VALUE"""),5.80422502355674)</f>
        <v>5.8042250235567403</v>
      </c>
      <c r="X42" s="65">
        <f ca="1">IFERROR(__xludf.DUMMYFUNCTION("""COMPUTED_VALUE"""),0.0457754585129634)</f>
        <v>4.5775458512963399E-2</v>
      </c>
      <c r="Y42" s="65">
        <f ca="1">IFERROR(__xludf.DUMMYFUNCTION("""COMPUTED_VALUE"""),0.0954145528515063)</f>
        <v>9.5414552851506296E-2</v>
      </c>
      <c r="Z42" s="66">
        <f ca="1">IFERROR(__xludf.DUMMYFUNCTION("""COMPUTED_VALUE"""),359.600190264785)</f>
        <v>359.600190264785</v>
      </c>
      <c r="AA42" s="70" t="str">
        <f ca="1">IFERROR(__xludf.DUMMYFUNCTION("""COMPUTED_VALUE"""),"VERY BAD")</f>
        <v>VERY BAD</v>
      </c>
    </row>
    <row r="43" spans="1:27" ht="14.25" x14ac:dyDescent="0.2">
      <c r="A43" s="56">
        <v>2024</v>
      </c>
      <c r="B43" s="57" t="s">
        <v>8</v>
      </c>
      <c r="C43" s="58" t="s">
        <v>85</v>
      </c>
      <c r="D43" s="59">
        <f ca="1">IFERROR(__xludf.DUMMYFUNCTION("""COMPUTED_VALUE"""),551885.77)</f>
        <v>551885.77</v>
      </c>
      <c r="E43" s="59">
        <f ca="1">IFERROR(__xludf.DUMMYFUNCTION("""COMPUTED_VALUE"""),480913.95)</f>
        <v>480913.95</v>
      </c>
      <c r="F43" s="59">
        <f t="shared" ca="1" si="0"/>
        <v>70971.820000000007</v>
      </c>
      <c r="G43" s="61" t="str">
        <f ca="1">IFERROR(__xludf.DUMMYFUNCTION("""COMPUTED_VALUE"""),"Chop Cheong Bee Sdn Bhd")</f>
        <v>Chop Cheong Bee Sdn Bhd</v>
      </c>
      <c r="H43" s="61">
        <f ca="1">IFERROR(__xludf.DUMMYFUNCTION("""COMPUTED_VALUE"""),43800)</f>
        <v>43800</v>
      </c>
      <c r="I43" s="62">
        <f ca="1">IFERROR(__xludf.DUMMYFUNCTION("""COMPUTED_VALUE"""),2.13)</f>
        <v>2.13</v>
      </c>
      <c r="J43" s="61">
        <f ca="1">IFERROR(__xludf.DUMMYFUNCTION("""COMPUTED_VALUE"""),1093)</f>
        <v>1093</v>
      </c>
      <c r="K43" s="63">
        <f ca="1">IFERROR(__xludf.DUMMYFUNCTION("""COMPUTED_VALUE"""),0.0249543378995433)</f>
        <v>2.4954337899543301E-2</v>
      </c>
      <c r="L43" s="63">
        <f ca="1">IFERROR(__xludf.DUMMYFUNCTION("""COMPUTED_VALUE"""),0.975045662100456)</f>
        <v>0.97504566210045596</v>
      </c>
      <c r="M43" s="64">
        <f ca="1">IFERROR(__xludf.DUMMYFUNCTION("""COMPUTED_VALUE"""),35)</f>
        <v>35</v>
      </c>
      <c r="N43" s="61">
        <f ca="1">IFERROR(__xludf.DUMMYFUNCTION("""COMPUTED_VALUE"""),2660.372208)</f>
        <v>2660.3722079999998</v>
      </c>
      <c r="O43" s="60">
        <f ca="1">IFERROR(__xludf.DUMMYFUNCTION("""COMPUTED_VALUE"""),1.41)</f>
        <v>1.41</v>
      </c>
      <c r="P43" s="61">
        <f ca="1">IFERROR(__xludf.DUMMYFUNCTION("""COMPUTED_VALUE"""),42707)</f>
        <v>42707</v>
      </c>
      <c r="Q43" s="59">
        <f ca="1">IFERROR(__xludf.DUMMYFUNCTION("""COMPUTED_VALUE"""),94339.44)</f>
        <v>94339.44</v>
      </c>
      <c r="R43" s="59">
        <f ca="1">IFERROR(__xludf.DUMMYFUNCTION("""COMPUTED_VALUE"""),2.20899243683705)</f>
        <v>2.2089924368370499</v>
      </c>
      <c r="S43" s="59">
        <f ca="1">IFERROR(__xludf.DUMMYFUNCTION("""COMPUTED_VALUE"""),12.9226068326035)</f>
        <v>12.922606832603501</v>
      </c>
      <c r="T43" s="65">
        <f ca="1">IFERROR(__xludf.DUMMYFUNCTION("""COMPUTED_VALUE"""),11.2607757510478)</f>
        <v>11.260775751047801</v>
      </c>
      <c r="U43" s="65">
        <f ca="1">IFERROR(__xludf.DUMMYFUNCTION("""COMPUTED_VALUE"""),1.66183108155571)</f>
        <v>1.66183108155571</v>
      </c>
      <c r="V43" s="65">
        <f ca="1">IFERROR(__xludf.DUMMYFUNCTION("""COMPUTED_VALUE"""),5.85000048760094)</f>
        <v>5.8500004876009397</v>
      </c>
      <c r="W43" s="65">
        <f ca="1">IFERROR(__xludf.DUMMYFUNCTION("""COMPUTED_VALUE"""),5.09769773914282)</f>
        <v>5.09769773914282</v>
      </c>
      <c r="X43" s="65">
        <f ca="1">IFERROR(__xludf.DUMMYFUNCTION("""COMPUTED_VALUE"""),0.752302748458121)</f>
        <v>0.75230274845812095</v>
      </c>
      <c r="Y43" s="65">
        <f ca="1">IFERROR(__xludf.DUMMYFUNCTION("""COMPUTED_VALUE"""),1.66183108155571)</f>
        <v>1.66183108155571</v>
      </c>
      <c r="Z43" s="66">
        <f ca="1">IFERROR(__xludf.DUMMYFUNCTION("""COMPUTED_VALUE"""),436.44751634259)</f>
        <v>436.44751634259001</v>
      </c>
      <c r="AA43" s="70" t="str">
        <f ca="1">IFERROR(__xludf.DUMMYFUNCTION("""COMPUTED_VALUE"""),"VERY GOOD")</f>
        <v>VERY GOOD</v>
      </c>
    </row>
    <row r="44" spans="1:27" ht="14.25" x14ac:dyDescent="0.2">
      <c r="A44" s="56">
        <v>2024</v>
      </c>
      <c r="B44" s="57" t="s">
        <v>8</v>
      </c>
      <c r="C44" s="58" t="s">
        <v>86</v>
      </c>
      <c r="D44" s="59">
        <f ca="1">IFERROR(__xludf.DUMMYFUNCTION("""COMPUTED_VALUE"""),533545.56)</f>
        <v>533545.56000000006</v>
      </c>
      <c r="E44" s="59">
        <f ca="1">IFERROR(__xludf.DUMMYFUNCTION("""COMPUTED_VALUE"""),489266.75)</f>
        <v>489266.75</v>
      </c>
      <c r="F44" s="59">
        <f t="shared" ca="1" si="0"/>
        <v>44278.810000000056</v>
      </c>
      <c r="G44" s="61" t="str">
        <f ca="1">IFERROR(__xludf.DUMMYFUNCTION("""COMPUTED_VALUE"""),"Chop Cheong Bee Sdn Bhd")</f>
        <v>Chop Cheong Bee Sdn Bhd</v>
      </c>
      <c r="H44" s="61">
        <f ca="1">IFERROR(__xludf.DUMMYFUNCTION("""COMPUTED_VALUE"""),41800)</f>
        <v>41800</v>
      </c>
      <c r="I44" s="62">
        <f ca="1">IFERROR(__xludf.DUMMYFUNCTION("""COMPUTED_VALUE"""),2.13)</f>
        <v>2.13</v>
      </c>
      <c r="J44" s="61">
        <f ca="1">IFERROR(__xludf.DUMMYFUNCTION("""COMPUTED_VALUE"""),1421)</f>
        <v>1421</v>
      </c>
      <c r="K44" s="63">
        <f ca="1">IFERROR(__xludf.DUMMYFUNCTION("""COMPUTED_VALUE"""),0.0339)</f>
        <v>3.39E-2</v>
      </c>
      <c r="L44" s="63">
        <f ca="1">IFERROR(__xludf.DUMMYFUNCTION("""COMPUTED_VALUE"""),0.966004784688995)</f>
        <v>0.96600478468899498</v>
      </c>
      <c r="M44" s="64">
        <f ca="1">IFERROR(__xludf.DUMMYFUNCTION("""COMPUTED_VALUE"""),35)</f>
        <v>35</v>
      </c>
      <c r="N44" s="61">
        <f ca="1">IFERROR(__xludf.DUMMYFUNCTION("""COMPUTED_VALUE"""),2809.094288)</f>
        <v>2809.0942879999998</v>
      </c>
      <c r="O44" s="60">
        <f ca="1">IFERROR(__xludf.DUMMYFUNCTION("""COMPUTED_VALUE"""),1.54)</f>
        <v>1.54</v>
      </c>
      <c r="P44" s="61">
        <f ca="1">IFERROR(__xludf.DUMMYFUNCTION("""COMPUTED_VALUE"""),40379)</f>
        <v>40379</v>
      </c>
      <c r="Q44" s="59">
        <f ca="1">IFERROR(__xludf.DUMMYFUNCTION("""COMPUTED_VALUE"""),91204.36)</f>
        <v>91204.36</v>
      </c>
      <c r="R44" s="59">
        <f ca="1">IFERROR(__xludf.DUMMYFUNCTION("""COMPUTED_VALUE"""),2.26)</f>
        <v>2.2599999999999998</v>
      </c>
      <c r="S44" s="59">
        <f ca="1">IFERROR(__xludf.DUMMYFUNCTION("""COMPUTED_VALUE"""),13.2134416404566)</f>
        <v>13.213441640456599</v>
      </c>
      <c r="T44" s="65">
        <f ca="1">IFERROR(__xludf.DUMMYFUNCTION("""COMPUTED_VALUE"""),12.1168614874068)</f>
        <v>12.116861487406799</v>
      </c>
      <c r="U44" s="65">
        <f ca="1">IFERROR(__xludf.DUMMYFUNCTION("""COMPUTED_VALUE"""),1.09658015304985)</f>
        <v>1.09658015304985</v>
      </c>
      <c r="V44" s="65">
        <f ca="1">IFERROR(__xludf.DUMMYFUNCTION("""COMPUTED_VALUE"""),5.85000059207695)</f>
        <v>5.8500005920769498</v>
      </c>
      <c r="W44" s="65">
        <f ca="1">IFERROR(__xludf.DUMMYFUNCTION("""COMPUTED_VALUE"""),5.3645105343648)</f>
        <v>5.3645105343647996</v>
      </c>
      <c r="X44" s="65">
        <f ca="1">IFERROR(__xludf.DUMMYFUNCTION("""COMPUTED_VALUE"""),0.485490057712154)</f>
        <v>0.48549005771215398</v>
      </c>
      <c r="Y44" s="65">
        <f ca="1">IFERROR(__xludf.DUMMYFUNCTION("""COMPUTED_VALUE"""),1.09658015304985)</f>
        <v>1.09658015304985</v>
      </c>
      <c r="Z44" s="66">
        <f ca="1">IFERROR(__xludf.DUMMYFUNCTION("""COMPUTED_VALUE"""),405.040967235088)</f>
        <v>405.04096723508798</v>
      </c>
      <c r="AA44" s="70" t="str">
        <f ca="1">IFERROR(__xludf.DUMMYFUNCTION("""COMPUTED_VALUE"""),"VERY GOOD")</f>
        <v>VERY GOOD</v>
      </c>
    </row>
    <row r="45" spans="1:27" ht="14.25" x14ac:dyDescent="0.2">
      <c r="A45" s="56">
        <v>2024</v>
      </c>
      <c r="B45" s="57" t="s">
        <v>8</v>
      </c>
      <c r="C45" s="58" t="s">
        <v>87</v>
      </c>
      <c r="D45" s="59">
        <f ca="1">IFERROR(__xludf.DUMMYFUNCTION("""COMPUTED_VALUE"""),535835.1)</f>
        <v>535835.1</v>
      </c>
      <c r="E45" s="59">
        <f ca="1">IFERROR(__xludf.DUMMYFUNCTION("""COMPUTED_VALUE"""),518985.45)</f>
        <v>518985.45</v>
      </c>
      <c r="F45" s="59">
        <f t="shared" ca="1" si="0"/>
        <v>16849.649999999965</v>
      </c>
      <c r="G45" s="61" t="str">
        <f ca="1">IFERROR(__xludf.DUMMYFUNCTION("""COMPUTED_VALUE"""),"Chop Cheong Bee Sdn Bhd")</f>
        <v>Chop Cheong Bee Sdn Bhd</v>
      </c>
      <c r="H45" s="61">
        <f ca="1">IFERROR(__xludf.DUMMYFUNCTION("""COMPUTED_VALUE"""),43800)</f>
        <v>43800</v>
      </c>
      <c r="I45" s="62">
        <f ca="1">IFERROR(__xludf.DUMMYFUNCTION("""COMPUTED_VALUE"""),2.13)</f>
        <v>2.13</v>
      </c>
      <c r="J45" s="61">
        <f ca="1">IFERROR(__xludf.DUMMYFUNCTION("""COMPUTED_VALUE"""),1583)</f>
        <v>1583</v>
      </c>
      <c r="K45" s="63">
        <f ca="1">IFERROR(__xludf.DUMMYFUNCTION("""COMPUTED_VALUE"""),0.0361415525114155)</f>
        <v>3.6141552511415501E-2</v>
      </c>
      <c r="L45" s="63">
        <f ca="1">IFERROR(__xludf.DUMMYFUNCTION("""COMPUTED_VALUE"""),0.963858447488584)</f>
        <v>0.96385844748858396</v>
      </c>
      <c r="M45" s="64">
        <f ca="1">IFERROR(__xludf.DUMMYFUNCTION("""COMPUTED_VALUE"""),35)</f>
        <v>35</v>
      </c>
      <c r="N45" s="61">
        <f ca="1">IFERROR(__xludf.DUMMYFUNCTION("""COMPUTED_VALUE"""),2985.83139199999)</f>
        <v>2985.83139199999</v>
      </c>
      <c r="O45" s="60">
        <f ca="1">IFERROR(__xludf.DUMMYFUNCTION("""COMPUTED_VALUE"""),1.63)</f>
        <v>1.63</v>
      </c>
      <c r="P45" s="61">
        <f ca="1">IFERROR(__xludf.DUMMYFUNCTION("""COMPUTED_VALUE"""),42217)</f>
        <v>42217</v>
      </c>
      <c r="Q45" s="59">
        <f ca="1">IFERROR(__xludf.DUMMYFUNCTION("""COMPUTED_VALUE"""),91589.92)</f>
        <v>91589.92</v>
      </c>
      <c r="R45" s="59">
        <f ca="1">IFERROR(__xludf.DUMMYFUNCTION("""COMPUTED_VALUE"""),2.17)</f>
        <v>2.17</v>
      </c>
      <c r="S45" s="59">
        <f ca="1">IFERROR(__xludf.DUMMYFUNCTION("""COMPUTED_VALUE"""),12.6924011654073)</f>
        <v>12.692401165407301</v>
      </c>
      <c r="T45" s="65">
        <f ca="1">IFERROR(__xludf.DUMMYFUNCTION("""COMPUTED_VALUE"""),12.2932811426676)</f>
        <v>12.293281142667601</v>
      </c>
      <c r="U45" s="65">
        <f ca="1">IFERROR(__xludf.DUMMYFUNCTION("""COMPUTED_VALUE"""),0.399120022739653)</f>
        <v>0.39912002273965302</v>
      </c>
      <c r="V45" s="65">
        <f ca="1">IFERROR(__xludf.DUMMYFUNCTION("""COMPUTED_VALUE"""),5.85037196232947)</f>
        <v>5.8503719623294703</v>
      </c>
      <c r="W45" s="65">
        <f ca="1">IFERROR(__xludf.DUMMYFUNCTION("""COMPUTED_VALUE"""),5.66640357366836)</f>
        <v>5.6664035736683598</v>
      </c>
      <c r="X45" s="65">
        <f ca="1">IFERROR(__xludf.DUMMYFUNCTION("""COMPUTED_VALUE"""),0.183968388661109)</f>
        <v>0.18396838866110901</v>
      </c>
      <c r="Y45" s="65">
        <f ca="1">IFERROR(__xludf.DUMMYFUNCTION("""COMPUTED_VALUE"""),0.399120022739652)</f>
        <v>0.39912002273965203</v>
      </c>
      <c r="Z45" s="66">
        <f ca="1">IFERROR(__xludf.DUMMYFUNCTION("""COMPUTED_VALUE"""),366.62100456621)</f>
        <v>366.62100456620999</v>
      </c>
      <c r="AA45" s="70" t="str">
        <f ca="1">IFERROR(__xludf.DUMMYFUNCTION("""COMPUTED_VALUE"""),"VERY BAD")</f>
        <v>VERY BAD</v>
      </c>
    </row>
    <row r="46" spans="1:27" ht="14.25" x14ac:dyDescent="0.2">
      <c r="A46" s="56">
        <v>2024</v>
      </c>
      <c r="B46" s="57" t="s">
        <v>8</v>
      </c>
      <c r="C46" s="58" t="s">
        <v>88</v>
      </c>
      <c r="D46" s="59">
        <f ca="1">IFERROR(__xludf.DUMMYFUNCTION("""COMPUTED_VALUE"""),524390.7)</f>
        <v>524390.69999999995</v>
      </c>
      <c r="E46" s="59">
        <f ca="1">IFERROR(__xludf.DUMMYFUNCTION("""COMPUTED_VALUE"""),488908.75)</f>
        <v>488908.75</v>
      </c>
      <c r="F46" s="59">
        <f t="shared" ca="1" si="0"/>
        <v>35481.949999999953</v>
      </c>
      <c r="G46" s="61" t="str">
        <f ca="1">IFERROR(__xludf.DUMMYFUNCTION("""COMPUTED_VALUE"""),"Chop Cheong Bee Sdn Bhd")</f>
        <v>Chop Cheong Bee Sdn Bhd</v>
      </c>
      <c r="H46" s="61">
        <f ca="1">IFERROR(__xludf.DUMMYFUNCTION("""COMPUTED_VALUE"""),43800)</f>
        <v>43800</v>
      </c>
      <c r="I46" s="62">
        <f ca="1">IFERROR(__xludf.DUMMYFUNCTION("""COMPUTED_VALUE"""),2.13)</f>
        <v>2.13</v>
      </c>
      <c r="J46" s="61">
        <f ca="1">IFERROR(__xludf.DUMMYFUNCTION("""COMPUTED_VALUE"""),2358)</f>
        <v>2358</v>
      </c>
      <c r="K46" s="63">
        <f ca="1">IFERROR(__xludf.DUMMYFUNCTION("""COMPUTED_VALUE"""),0.054)</f>
        <v>5.3999999999999999E-2</v>
      </c>
      <c r="L46" s="63">
        <f ca="1">IFERROR(__xludf.DUMMYFUNCTION("""COMPUTED_VALUE"""),0.946164383561643)</f>
        <v>0.94616438356164301</v>
      </c>
      <c r="M46" s="64">
        <f ca="1">IFERROR(__xludf.DUMMYFUNCTION("""COMPUTED_VALUE"""),35)</f>
        <v>35</v>
      </c>
      <c r="N46" s="61">
        <f ca="1">IFERROR(__xludf.DUMMYFUNCTION("""COMPUTED_VALUE"""),2815.64704)</f>
        <v>2815.6470399999998</v>
      </c>
      <c r="O46" s="60">
        <f ca="1">IFERROR(__xludf.DUMMYFUNCTION("""COMPUTED_VALUE"""),1.49)</f>
        <v>1.49</v>
      </c>
      <c r="P46" s="61">
        <f ca="1">IFERROR(__xludf.DUMMYFUNCTION("""COMPUTED_VALUE"""),41442)</f>
        <v>41442</v>
      </c>
      <c r="Q46" s="59">
        <f ca="1">IFERROR(__xludf.DUMMYFUNCTION("""COMPUTED_VALUE"""),94484.8)</f>
        <v>94484.800000000003</v>
      </c>
      <c r="R46" s="59">
        <f ca="1">IFERROR(__xludf.DUMMYFUNCTION("""COMPUTED_VALUE"""),2.28)</f>
        <v>2.2799999999999998</v>
      </c>
      <c r="S46" s="59">
        <f ca="1">IFERROR(__xludf.DUMMYFUNCTION("""COMPUTED_VALUE"""),12.6536050383668)</f>
        <v>12.6536050383668</v>
      </c>
      <c r="T46" s="65">
        <f ca="1">IFERROR(__xludf.DUMMYFUNCTION("""COMPUTED_VALUE"""),11.7974216977945)</f>
        <v>11.797421697794499</v>
      </c>
      <c r="U46" s="65">
        <f ca="1">IFERROR(__xludf.DUMMYFUNCTION("""COMPUTED_VALUE"""),0.856183340572364)</f>
        <v>0.856183340572364</v>
      </c>
      <c r="V46" s="65">
        <f ca="1">IFERROR(__xludf.DUMMYFUNCTION("""COMPUTED_VALUE"""),5.55000063502277)</f>
        <v>5.5500006350227702</v>
      </c>
      <c r="W46" s="65">
        <f ca="1">IFERROR(__xludf.DUMMYFUNCTION("""COMPUTED_VALUE"""),5.17446986181904)</f>
        <v>5.1744698618190403</v>
      </c>
      <c r="X46" s="65">
        <f ca="1">IFERROR(__xludf.DUMMYFUNCTION("""COMPUTED_VALUE"""),0.375530773203731)</f>
        <v>0.37553077320373102</v>
      </c>
      <c r="Y46" s="65">
        <f ca="1">IFERROR(__xludf.DUMMYFUNCTION("""COMPUTED_VALUE"""),0.856183340572365)</f>
        <v>0.856183340572365</v>
      </c>
      <c r="Z46" s="66">
        <f ca="1">IFERROR(__xludf.DUMMYFUNCTION("""COMPUTED_VALUE"""),413.663431355809)</f>
        <v>413.663431355809</v>
      </c>
      <c r="AA46" s="70" t="str">
        <f ca="1">IFERROR(__xludf.DUMMYFUNCTION("""COMPUTED_VALUE"""),"JUST AVERAGE")</f>
        <v>JUST AVERAGE</v>
      </c>
    </row>
    <row r="47" spans="1:27" ht="14.25" x14ac:dyDescent="0.2">
      <c r="A47" s="56">
        <v>2024</v>
      </c>
      <c r="B47" s="57" t="s">
        <v>8</v>
      </c>
      <c r="C47" s="58" t="s">
        <v>89</v>
      </c>
      <c r="D47" s="59">
        <f ca="1">IFERROR(__xludf.DUMMYFUNCTION("""COMPUTED_VALUE"""),530679.3)</f>
        <v>530679.30000000005</v>
      </c>
      <c r="E47" s="59">
        <f ca="1">IFERROR(__xludf.DUMMYFUNCTION("""COMPUTED_VALUE"""),503479.15)</f>
        <v>503479.15</v>
      </c>
      <c r="F47" s="59">
        <f t="shared" ca="1" si="0"/>
        <v>27200.150000000023</v>
      </c>
      <c r="G47" s="61" t="str">
        <f ca="1">IFERROR(__xludf.DUMMYFUNCTION("""COMPUTED_VALUE"""),"Chop Cheong Bee Sdn Bhd")</f>
        <v>Chop Cheong Bee Sdn Bhd</v>
      </c>
      <c r="H47" s="61">
        <f ca="1">IFERROR(__xludf.DUMMYFUNCTION("""COMPUTED_VALUE"""),43800)</f>
        <v>43800</v>
      </c>
      <c r="I47" s="62">
        <f ca="1">IFERROR(__xludf.DUMMYFUNCTION("""COMPUTED_VALUE"""),2.12)</f>
        <v>2.12</v>
      </c>
      <c r="J47" s="61">
        <f ca="1">IFERROR(__xludf.DUMMYFUNCTION("""COMPUTED_VALUE"""),2121)</f>
        <v>2121</v>
      </c>
      <c r="K47" s="63">
        <f ca="1">IFERROR(__xludf.DUMMYFUNCTION("""COMPUTED_VALUE"""),0.048)</f>
        <v>4.8000000000000001E-2</v>
      </c>
      <c r="L47" s="63">
        <f ca="1">IFERROR(__xludf.DUMMYFUNCTION("""COMPUTED_VALUE"""),0.951575342465753)</f>
        <v>0.95157534246575304</v>
      </c>
      <c r="M47" s="64">
        <f ca="1">IFERROR(__xludf.DUMMYFUNCTION("""COMPUTED_VALUE"""),35)</f>
        <v>35</v>
      </c>
      <c r="N47" s="61">
        <f ca="1">IFERROR(__xludf.DUMMYFUNCTION("""COMPUTED_VALUE"""),3059.76256)</f>
        <v>3059.7625600000001</v>
      </c>
      <c r="O47" s="62">
        <f ca="1">IFERROR(__xludf.DUMMYFUNCTION("""COMPUTED_VALUE"""),1.6)</f>
        <v>1.6</v>
      </c>
      <c r="P47" s="61">
        <f ca="1">IFERROR(__xludf.DUMMYFUNCTION("""COMPUTED_VALUE"""),41679)</f>
        <v>41679</v>
      </c>
      <c r="Q47" s="59">
        <f ca="1">IFERROR(__xludf.DUMMYFUNCTION("""COMPUTED_VALUE"""),95617.58)</f>
        <v>95617.58</v>
      </c>
      <c r="R47" s="59">
        <f ca="1">IFERROR(__xludf.DUMMYFUNCTION("""COMPUTED_VALUE"""),2.29)</f>
        <v>2.29</v>
      </c>
      <c r="S47" s="59">
        <f ca="1">IFERROR(__xludf.DUMMYFUNCTION("""COMPUTED_VALUE"""),12.7325343698265)</f>
        <v>12.732534369826499</v>
      </c>
      <c r="T47" s="65">
        <f ca="1">IFERROR(__xludf.DUMMYFUNCTION("""COMPUTED_VALUE"""),12.079923942513)</f>
        <v>12.079923942513</v>
      </c>
      <c r="U47" s="65">
        <f ca="1">IFERROR(__xludf.DUMMYFUNCTION("""COMPUTED_VALUE"""),0.652610427313517)</f>
        <v>0.65261042731351704</v>
      </c>
      <c r="V47" s="65">
        <f ca="1">IFERROR(__xludf.DUMMYFUNCTION("""COMPUTED_VALUE"""),5.55001810336551)</f>
        <v>5.5500181033655096</v>
      </c>
      <c r="W47" s="65">
        <f ca="1">IFERROR(__xludf.DUMMYFUNCTION("""COMPUTED_VALUE"""),5.26555001705753)</f>
        <v>5.2655500170575298</v>
      </c>
      <c r="X47" s="65">
        <f ca="1">IFERROR(__xludf.DUMMYFUNCTION("""COMPUTED_VALUE"""),0.284468086307978)</f>
        <v>0.28446808630797799</v>
      </c>
      <c r="Y47" s="65">
        <f ca="1">IFERROR(__xludf.DUMMYFUNCTION("""COMPUTED_VALUE"""),0.652610427313515)</f>
        <v>0.65261042731351504</v>
      </c>
      <c r="Z47" s="66">
        <f ca="1">IFERROR(__xludf.DUMMYFUNCTION("""COMPUTED_VALUE"""),389.126345401174)</f>
        <v>389.12634540117398</v>
      </c>
      <c r="AA47" s="70" t="str">
        <f ca="1">IFERROR(__xludf.DUMMYFUNCTION("""COMPUTED_VALUE"""),"JUST AVERAGE")</f>
        <v>JUST AVERAGE</v>
      </c>
    </row>
    <row r="48" spans="1:27" ht="14.25" x14ac:dyDescent="0.2">
      <c r="A48" s="56">
        <v>2024</v>
      </c>
      <c r="B48" s="57" t="s">
        <v>9</v>
      </c>
      <c r="C48" s="58" t="s">
        <v>84</v>
      </c>
      <c r="D48" s="59">
        <f ca="1">IFERROR(__xludf.DUMMYFUNCTION("TRANSPOSE(IMPORTRANGE(""1Y1LY7dyNGLp0NieLSn-6awoDagvXjF5SwgLKBcwcayI"", ""2024!C12:H12""))"),194627.76)</f>
        <v>194627.76</v>
      </c>
      <c r="E48" s="59">
        <f ca="1">IFERROR(__xludf.DUMMYFUNCTION("TRANSPOSE(IMPORTRANGE(""1Y1LY7dyNGLp0NieLSn-6awoDagvXjF5SwgLKBcwcayI"", ""2024!C43:H43""))"),173717.95)</f>
        <v>173717.95</v>
      </c>
      <c r="F48" s="59">
        <f t="shared" ca="1" si="0"/>
        <v>20909.809999999998</v>
      </c>
      <c r="G48" s="60" t="str">
        <f ca="1">IFERROR(__xludf.DUMMYFUNCTION("TRANSPOSE(IMPORTRANGE(""1Y1LY7dyNGLp0NieLSn-6awoDagvXjF5SwgLKBcwcayI"", ""2024!C51:H71""))"),"Chop Cheong Bee Sdn Bhd")</f>
        <v>Chop Cheong Bee Sdn Bhd</v>
      </c>
      <c r="H48" s="61">
        <f ca="1">IFERROR(__xludf.DUMMYFUNCTION("""COMPUTED_VALUE"""),15000)</f>
        <v>15000</v>
      </c>
      <c r="I48" s="62">
        <f ca="1">IFERROR(__xludf.DUMMYFUNCTION("""COMPUTED_VALUE"""),2.03)</f>
        <v>2.0299999999999998</v>
      </c>
      <c r="J48" s="61">
        <f ca="1">IFERROR(__xludf.DUMMYFUNCTION("""COMPUTED_VALUE"""),579)</f>
        <v>579</v>
      </c>
      <c r="K48" s="63">
        <f ca="1">IFERROR(__xludf.DUMMYFUNCTION("""COMPUTED_VALUE"""),0.0386)</f>
        <v>3.8600000000000002E-2</v>
      </c>
      <c r="L48" s="63">
        <f ca="1">IFERROR(__xludf.DUMMYFUNCTION("""COMPUTED_VALUE"""),0.9614)</f>
        <v>0.96140000000000003</v>
      </c>
      <c r="M48" s="64">
        <f ca="1">IFERROR(__xludf.DUMMYFUNCTION("""COMPUTED_VALUE"""),35)</f>
        <v>35</v>
      </c>
      <c r="N48" s="64">
        <f ca="1">IFERROR(__xludf.DUMMYFUNCTION("""COMPUTED_VALUE"""),922.91342)</f>
        <v>922.91341999999997</v>
      </c>
      <c r="O48" s="60">
        <f ca="1">IFERROR(__xludf.DUMMYFUNCTION("""COMPUTED_VALUE"""),1.43)</f>
        <v>1.43</v>
      </c>
      <c r="P48" s="61">
        <f ca="1">IFERROR(__xludf.DUMMYFUNCTION("""COMPUTED_VALUE"""),14421)</f>
        <v>14421</v>
      </c>
      <c r="Q48" s="59">
        <f ca="1">IFERROR(__xludf.DUMMYFUNCTION("""COMPUTED_VALUE"""),32269.7)</f>
        <v>32269.7</v>
      </c>
      <c r="R48" s="59">
        <f ca="1">IFERROR(__xludf.DUMMYFUNCTION("""COMPUTED_VALUE"""),2.23768809375216)</f>
        <v>2.2376880937521602</v>
      </c>
      <c r="S48" s="59">
        <f ca="1">IFERROR(__xludf.DUMMYFUNCTION("""COMPUTED_VALUE"""),13.4961348034116)</f>
        <v>13.4961348034116</v>
      </c>
      <c r="T48" s="71">
        <f ca="1">IFERROR(__xludf.DUMMYFUNCTION("""COMPUTED_VALUE"""),12.0461791831357)</f>
        <v>12.046179183135701</v>
      </c>
      <c r="U48" s="71">
        <f ca="1">IFERROR(__xludf.DUMMYFUNCTION("""COMPUTED_VALUE"""),1.44995562027598)</f>
        <v>1.44995562027598</v>
      </c>
      <c r="V48" s="71">
        <f ca="1">IFERROR(__xludf.DUMMYFUNCTION("""COMPUTED_VALUE"""),6.03128507547327)</f>
        <v>6.0312850754732699</v>
      </c>
      <c r="W48" s="72">
        <f ca="1">IFERROR(__xludf.DUMMYFUNCTION("""COMPUTED_VALUE"""),5.38331468839189)</f>
        <v>5.3833146883918896</v>
      </c>
      <c r="X48" s="72">
        <f ca="1">IFERROR(__xludf.DUMMYFUNCTION("""COMPUTED_VALUE"""),0.647970387081379)</f>
        <v>0.647970387081379</v>
      </c>
      <c r="Y48" s="67">
        <f ca="1">IFERROR(__xludf.DUMMYFUNCTION("""COMPUTED_VALUE"""),1.44995562027598)</f>
        <v>1.44995562027598</v>
      </c>
      <c r="Z48" s="66">
        <f ca="1">IFERROR(__xludf.DUMMYFUNCTION("""COMPUTED_VALUE"""),376.103729603729)</f>
        <v>376.10372960372899</v>
      </c>
      <c r="AA48" s="67" t="str">
        <f ca="1">IFERROR(__xludf.DUMMYFUNCTION("""COMPUTED_VALUE"""),"VERY GOOD")</f>
        <v>VERY GOOD</v>
      </c>
    </row>
    <row r="49" spans="1:27" ht="14.25" x14ac:dyDescent="0.2">
      <c r="A49" s="56">
        <v>2024</v>
      </c>
      <c r="B49" s="57" t="s">
        <v>9</v>
      </c>
      <c r="C49" s="58" t="s">
        <v>85</v>
      </c>
      <c r="D49" s="65">
        <f ca="1">IFERROR(__xludf.DUMMYFUNCTION("""COMPUTED_VALUE"""),193108.52)</f>
        <v>193108.52</v>
      </c>
      <c r="E49" s="65">
        <f ca="1">IFERROR(__xludf.DUMMYFUNCTION("""COMPUTED_VALUE"""),188983.5)</f>
        <v>188983.5</v>
      </c>
      <c r="F49" s="59">
        <f t="shared" ca="1" si="0"/>
        <v>4125.0199999999895</v>
      </c>
      <c r="G49" s="70" t="str">
        <f ca="1">IFERROR(__xludf.DUMMYFUNCTION("""COMPUTED_VALUE"""),"Chop Cheong Bee Sdn Bhd")</f>
        <v>Chop Cheong Bee Sdn Bhd</v>
      </c>
      <c r="H49" s="61">
        <f ca="1">IFERROR(__xludf.DUMMYFUNCTION("""COMPUTED_VALUE"""),15000)</f>
        <v>15000</v>
      </c>
      <c r="I49" s="62">
        <f ca="1">IFERROR(__xludf.DUMMYFUNCTION("""COMPUTED_VALUE"""),2.13)</f>
        <v>2.13</v>
      </c>
      <c r="J49" s="61">
        <f ca="1">IFERROR(__xludf.DUMMYFUNCTION("""COMPUTED_VALUE"""),256)</f>
        <v>256</v>
      </c>
      <c r="K49" s="63">
        <f ca="1">IFERROR(__xludf.DUMMYFUNCTION("""COMPUTED_VALUE"""),0.0170666666666666)</f>
        <v>1.7066666666666602E-2</v>
      </c>
      <c r="L49" s="63">
        <f ca="1">IFERROR(__xludf.DUMMYFUNCTION("""COMPUTED_VALUE"""),0.982933333333333)</f>
        <v>0.98293333333333299</v>
      </c>
      <c r="M49" s="64">
        <f ca="1">IFERROR(__xludf.DUMMYFUNCTION("""COMPUTED_VALUE"""),35)</f>
        <v>35</v>
      </c>
      <c r="N49" s="64">
        <f ca="1">IFERROR(__xludf.DUMMYFUNCTION("""COMPUTED_VALUE"""),897.872)</f>
        <v>897.87199999999996</v>
      </c>
      <c r="O49" s="60">
        <f ca="1">IFERROR(__xludf.DUMMYFUNCTION("""COMPUTED_VALUE"""),1.36)</f>
        <v>1.36</v>
      </c>
      <c r="P49" s="66">
        <f ca="1">IFERROR(__xludf.DUMMYFUNCTION("""COMPUTED_VALUE"""),14744)</f>
        <v>14744</v>
      </c>
      <c r="Q49" s="65">
        <f ca="1">IFERROR(__xludf.DUMMYFUNCTION("""COMPUTED_VALUE"""),33010)</f>
        <v>33010</v>
      </c>
      <c r="R49" s="65">
        <f ca="1">IFERROR(__xludf.DUMMYFUNCTION("""COMPUTED_VALUE"""),2.23887683125339)</f>
        <v>2.23887683125339</v>
      </c>
      <c r="S49" s="59">
        <f ca="1">IFERROR(__xludf.DUMMYFUNCTION("""COMPUTED_VALUE"""),13.0974308193163)</f>
        <v>13.097430819316299</v>
      </c>
      <c r="T49" s="72">
        <f ca="1">IFERROR(__xludf.DUMMYFUNCTION("""COMPUTED_VALUE"""),12.8176546391752)</f>
        <v>12.817654639175201</v>
      </c>
      <c r="U49" s="72">
        <f ca="1">IFERROR(__xludf.DUMMYFUNCTION("""COMPUTED_VALUE"""),0.279776180141073)</f>
        <v>0.27977618014107303</v>
      </c>
      <c r="V49" s="72">
        <f ca="1">IFERROR(__xludf.DUMMYFUNCTION("""COMPUTED_VALUE"""),5.850000605877)</f>
        <v>5.8500006058769998</v>
      </c>
      <c r="W49" s="72">
        <f ca="1">IFERROR(__xludf.DUMMYFUNCTION("""COMPUTED_VALUE"""),5.72503786731293)</f>
        <v>5.7250378673129303</v>
      </c>
      <c r="X49" s="72">
        <f ca="1">IFERROR(__xludf.DUMMYFUNCTION("""COMPUTED_VALUE"""),0.124962738564071)</f>
        <v>0.124962738564071</v>
      </c>
      <c r="Y49" s="67">
        <f ca="1">IFERROR(__xludf.DUMMYFUNCTION("""COMPUTED_VALUE"""),0.279776180141073)</f>
        <v>0.27977618014107303</v>
      </c>
      <c r="Z49" s="66">
        <f ca="1">IFERROR(__xludf.DUMMYFUNCTION("""COMPUTED_VALUE"""),404.53431372549)</f>
        <v>404.53431372548999</v>
      </c>
      <c r="AA49" s="67" t="str">
        <f ca="1">IFERROR(__xludf.DUMMYFUNCTION("""COMPUTED_VALUE"""),"VERY BAD")</f>
        <v>VERY BAD</v>
      </c>
    </row>
    <row r="50" spans="1:27" ht="16.5" customHeight="1" x14ac:dyDescent="0.2">
      <c r="A50" s="56">
        <v>2024</v>
      </c>
      <c r="B50" s="57" t="s">
        <v>9</v>
      </c>
      <c r="C50" s="58" t="s">
        <v>86</v>
      </c>
      <c r="D50" s="59">
        <f ca="1">IFERROR(__xludf.DUMMYFUNCTION("""COMPUTED_VALUE"""),194315.38)</f>
        <v>194315.38</v>
      </c>
      <c r="E50" s="59">
        <f ca="1">IFERROR(__xludf.DUMMYFUNCTION("""COMPUTED_VALUE"""),170057.2)</f>
        <v>170057.2</v>
      </c>
      <c r="F50" s="59">
        <f t="shared" ca="1" si="0"/>
        <v>24258.179999999993</v>
      </c>
      <c r="G50" s="60" t="str">
        <f ca="1">IFERROR(__xludf.DUMMYFUNCTION("""COMPUTED_VALUE"""),"Chop Cheong Bee Sdn Bhd")</f>
        <v>Chop Cheong Bee Sdn Bhd</v>
      </c>
      <c r="H50" s="61">
        <f ca="1">IFERROR(__xludf.DUMMYFUNCTION("""COMPUTED_VALUE"""),15000)</f>
        <v>15000</v>
      </c>
      <c r="I50" s="62">
        <f ca="1">IFERROR(__xludf.DUMMYFUNCTION("""COMPUTED_VALUE"""),2.13)</f>
        <v>2.13</v>
      </c>
      <c r="J50" s="61">
        <f ca="1">IFERROR(__xludf.DUMMYFUNCTION("""COMPUTED_VALUE"""),290)</f>
        <v>290</v>
      </c>
      <c r="K50" s="63">
        <f ca="1">IFERROR(__xludf.DUMMYFUNCTION("""COMPUTED_VALUE"""),0.0193333333333333)</f>
        <v>1.93333333333333E-2</v>
      </c>
      <c r="L50" s="63">
        <f ca="1">IFERROR(__xludf.DUMMYFUNCTION("""COMPUTED_VALUE"""),0.980666666666666)</f>
        <v>0.98066666666666602</v>
      </c>
      <c r="M50" s="64">
        <f ca="1">IFERROR(__xludf.DUMMYFUNCTION("""COMPUTED_VALUE"""),35)</f>
        <v>35</v>
      </c>
      <c r="N50" s="64">
        <f ca="1">IFERROR(__xludf.DUMMYFUNCTION("""COMPUTED_VALUE"""),903.48336)</f>
        <v>903.48335999999995</v>
      </c>
      <c r="O50" s="60">
        <f ca="1">IFERROR(__xludf.DUMMYFUNCTION("""COMPUTED_VALUE"""),1.36)</f>
        <v>1.36</v>
      </c>
      <c r="P50" s="61">
        <f ca="1">IFERROR(__xludf.DUMMYFUNCTION("""COMPUTED_VALUE"""),14710)</f>
        <v>14710</v>
      </c>
      <c r="Q50" s="59">
        <f ca="1">IFERROR(__xludf.DUMMYFUNCTION("""COMPUTED_VALUE"""),33216.3)</f>
        <v>33216.300000000003</v>
      </c>
      <c r="R50" s="59">
        <f ca="1">IFERROR(__xludf.DUMMYFUNCTION("""COMPUTED_VALUE"""),2.25807613868116)</f>
        <v>2.2580761386811599</v>
      </c>
      <c r="S50" s="59">
        <f ca="1">IFERROR(__xludf.DUMMYFUNCTION("""COMPUTED_VALUE"""),13.2097471108089)</f>
        <v>13.2097471108089</v>
      </c>
      <c r="T50" s="71">
        <f ca="1">IFERROR(__xludf.DUMMYFUNCTION("""COMPUTED_VALUE"""),11.5606526172671)</f>
        <v>11.560652617267101</v>
      </c>
      <c r="U50" s="71">
        <f ca="1">IFERROR(__xludf.DUMMYFUNCTION("""COMPUTED_VALUE"""),1.6490944935418)</f>
        <v>1.6490944935417999</v>
      </c>
      <c r="V50" s="71">
        <f ca="1">IFERROR(__xludf.DUMMYFUNCTION("""COMPUTED_VALUE"""),5.85000075264252)</f>
        <v>5.8500007526425204</v>
      </c>
      <c r="W50" s="72">
        <f ca="1">IFERROR(__xludf.DUMMYFUNCTION("""COMPUTED_VALUE"""),5.11969123592934)</f>
        <v>5.1196912359293396</v>
      </c>
      <c r="X50" s="72">
        <f ca="1">IFERROR(__xludf.DUMMYFUNCTION("""COMPUTED_VALUE"""),0.730309516713179)</f>
        <v>0.73030951671317901</v>
      </c>
      <c r="Y50" s="67">
        <f ca="1">IFERROR(__xludf.DUMMYFUNCTION("""COMPUTED_VALUE"""),1.6490944935418)</f>
        <v>1.6490944935417999</v>
      </c>
      <c r="Z50" s="66">
        <f ca="1">IFERROR(__xludf.DUMMYFUNCTION("""COMPUTED_VALUE"""),407.0625)</f>
        <v>407.0625</v>
      </c>
      <c r="AA50" s="67" t="str">
        <f ca="1">IFERROR(__xludf.DUMMYFUNCTION("""COMPUTED_VALUE"""),"VERY GOOD")</f>
        <v>VERY GOOD</v>
      </c>
    </row>
    <row r="51" spans="1:27" ht="14.25" x14ac:dyDescent="0.2">
      <c r="A51" s="56">
        <v>2024</v>
      </c>
      <c r="B51" s="57" t="s">
        <v>9</v>
      </c>
      <c r="C51" s="58" t="s">
        <v>87</v>
      </c>
      <c r="D51" s="59">
        <f ca="1">IFERROR(__xludf.DUMMYFUNCTION("""COMPUTED_VALUE"""),175027.34)</f>
        <v>175027.34</v>
      </c>
      <c r="E51" s="59">
        <f ca="1">IFERROR(__xludf.DUMMYFUNCTION("""COMPUTED_VALUE"""),174753.54)</f>
        <v>174753.54</v>
      </c>
      <c r="F51" s="59">
        <f t="shared" ca="1" si="0"/>
        <v>273.79999999998836</v>
      </c>
      <c r="G51" s="60" t="str">
        <f ca="1">IFERROR(__xludf.DUMMYFUNCTION("""COMPUTED_VALUE"""),"Chop Cheong Bee Sdn Bhd")</f>
        <v>Chop Cheong Bee Sdn Bhd</v>
      </c>
      <c r="H51" s="61">
        <f ca="1">IFERROR(__xludf.DUMMYFUNCTION("""COMPUTED_VALUE"""),15000)</f>
        <v>15000</v>
      </c>
      <c r="I51" s="62">
        <f ca="1">IFERROR(__xludf.DUMMYFUNCTION("""COMPUTED_VALUE"""),2.13)</f>
        <v>2.13</v>
      </c>
      <c r="J51" s="61">
        <f ca="1">IFERROR(__xludf.DUMMYFUNCTION("""COMPUTED_VALUE"""),420)</f>
        <v>420</v>
      </c>
      <c r="K51" s="63">
        <f ca="1">IFERROR(__xludf.DUMMYFUNCTION("""COMPUTED_VALUE"""),0.028)</f>
        <v>2.8000000000000001E-2</v>
      </c>
      <c r="L51" s="63">
        <f ca="1">IFERROR(__xludf.DUMMYFUNCTION("""COMPUTED_VALUE"""),0.972)</f>
        <v>0.97199999999999998</v>
      </c>
      <c r="M51" s="64">
        <f ca="1">IFERROR(__xludf.DUMMYFUNCTION("""COMPUTED_VALUE"""),35)</f>
        <v>35</v>
      </c>
      <c r="N51" s="64">
        <f ca="1">IFERROR(__xludf.DUMMYFUNCTION("""COMPUTED_VALUE"""),909.54368)</f>
        <v>909.54367999999999</v>
      </c>
      <c r="O51" s="60">
        <f ca="1">IFERROR(__xludf.DUMMYFUNCTION("""COMPUTED_VALUE"""),1.52)</f>
        <v>1.52</v>
      </c>
      <c r="P51" s="61">
        <f ca="1">IFERROR(__xludf.DUMMYFUNCTION("""COMPUTED_VALUE"""),14594)</f>
        <v>14594</v>
      </c>
      <c r="Q51" s="59">
        <f ca="1">IFERROR(__xludf.DUMMYFUNCTION("""COMPUTED_VALUE"""),29919.2)</f>
        <v>29919.200000000001</v>
      </c>
      <c r="R51" s="59">
        <f ca="1">IFERROR(__xludf.DUMMYFUNCTION("""COMPUTED_VALUE"""),2.05)</f>
        <v>2.0499999999999998</v>
      </c>
      <c r="S51" s="59">
        <f ca="1">IFERROR(__xludf.DUMMYFUNCTION("""COMPUTED_VALUE"""),11.9931026449225)</f>
        <v>11.9931026449225</v>
      </c>
      <c r="T51" s="71">
        <f ca="1">IFERROR(__xludf.DUMMYFUNCTION("""COMPUTED_VALUE"""),11.9743415102096)</f>
        <v>11.9743415102096</v>
      </c>
      <c r="U51" s="71">
        <f ca="1">IFERROR(__xludf.DUMMYFUNCTION("""COMPUTED_VALUE"""),0.0187611347128949)</f>
        <v>1.8761134712894902E-2</v>
      </c>
      <c r="V51" s="71">
        <f ca="1">IFERROR(__xludf.DUMMYFUNCTION("""COMPUTED_VALUE"""),5.85000066846707)</f>
        <v>5.8500006684670698</v>
      </c>
      <c r="W51" s="72">
        <f ca="1">IFERROR(__xludf.DUMMYFUNCTION("""COMPUTED_VALUE"""),5.8408493542608)</f>
        <v>5.8408493542607998</v>
      </c>
      <c r="X51" s="72">
        <f ca="1">IFERROR(__xludf.DUMMYFUNCTION("""COMPUTED_VALUE"""),0.00915131420626114)</f>
        <v>9.1513142062611408E-3</v>
      </c>
      <c r="Y51" s="67">
        <f ca="1">IFERROR(__xludf.DUMMYFUNCTION("""COMPUTED_VALUE"""),0.0187611347128949)</f>
        <v>1.8761134712894902E-2</v>
      </c>
      <c r="Z51" s="66">
        <f ca="1">IFERROR(__xludf.DUMMYFUNCTION("""COMPUTED_VALUE"""),328.04495614035)</f>
        <v>328.04495614035</v>
      </c>
      <c r="AA51" s="67" t="str">
        <f ca="1">IFERROR(__xludf.DUMMYFUNCTION("""COMPUTED_VALUE"""),"VERY BAD")</f>
        <v>VERY BAD</v>
      </c>
    </row>
    <row r="52" spans="1:27" ht="14.25" x14ac:dyDescent="0.2">
      <c r="A52" s="56">
        <v>2024</v>
      </c>
      <c r="B52" s="57" t="s">
        <v>9</v>
      </c>
      <c r="C52" s="58" t="s">
        <v>88</v>
      </c>
      <c r="D52" s="59">
        <f ca="1">IFERROR(__xludf.DUMMYFUNCTION("""COMPUTED_VALUE"""),182860.32)</f>
        <v>182860.32</v>
      </c>
      <c r="E52" s="59">
        <f ca="1">IFERROR(__xludf.DUMMYFUNCTION("""COMPUTED_VALUE"""),172512.69)</f>
        <v>172512.69</v>
      </c>
      <c r="F52" s="59">
        <f t="shared" ca="1" si="0"/>
        <v>10347.630000000005</v>
      </c>
      <c r="G52" s="60" t="str">
        <f ca="1">IFERROR(__xludf.DUMMYFUNCTION("""COMPUTED_VALUE"""),"Chop Cheong Bee Sdn Bhd")</f>
        <v>Chop Cheong Bee Sdn Bhd</v>
      </c>
      <c r="H52" s="61">
        <f ca="1">IFERROR(__xludf.DUMMYFUNCTION("""COMPUTED_VALUE"""),15000)</f>
        <v>15000</v>
      </c>
      <c r="I52" s="62">
        <f ca="1">IFERROR(__xludf.DUMMYFUNCTION("""COMPUTED_VALUE"""),2.13)</f>
        <v>2.13</v>
      </c>
      <c r="J52" s="61">
        <f ca="1">IFERROR(__xludf.DUMMYFUNCTION("""COMPUTED_VALUE"""),846)</f>
        <v>846</v>
      </c>
      <c r="K52" s="63">
        <f ca="1">IFERROR(__xludf.DUMMYFUNCTION("""COMPUTED_VALUE"""),0.0564)</f>
        <v>5.6399999999999999E-2</v>
      </c>
      <c r="L52" s="63">
        <f ca="1">IFERROR(__xludf.DUMMYFUNCTION("""COMPUTED_VALUE"""),0.9436)</f>
        <v>0.94359999999999999</v>
      </c>
      <c r="M52" s="64">
        <f ca="1">IFERROR(__xludf.DUMMYFUNCTION("""COMPUTED_VALUE"""),35)</f>
        <v>35</v>
      </c>
      <c r="N52" s="64">
        <f ca="1">IFERROR(__xludf.DUMMYFUNCTION("""COMPUTED_VALUE"""),981.84444)</f>
        <v>981.84443999999996</v>
      </c>
      <c r="O52" s="60">
        <f ca="1">IFERROR(__xludf.DUMMYFUNCTION("""COMPUTED_VALUE"""),1.49)</f>
        <v>1.49</v>
      </c>
      <c r="P52" s="61">
        <f ca="1">IFERROR(__xludf.DUMMYFUNCTION("""COMPUTED_VALUE"""),14154)</f>
        <v>14154</v>
      </c>
      <c r="Q52" s="59">
        <f ca="1">IFERROR(__xludf.DUMMYFUNCTION("""COMPUTED_VALUE"""),32947.8)</f>
        <v>32947.800000000003</v>
      </c>
      <c r="R52" s="59">
        <f ca="1">IFERROR(__xludf.DUMMYFUNCTION("""COMPUTED_VALUE"""),2.33)</f>
        <v>2.33</v>
      </c>
      <c r="S52" s="59">
        <f ca="1">IFERROR(__xludf.DUMMYFUNCTION("""COMPUTED_VALUE"""),12.9193387028401)</f>
        <v>12.919338702840101</v>
      </c>
      <c r="T52" s="71">
        <f ca="1">IFERROR(__xludf.DUMMYFUNCTION("""COMPUTED_VALUE"""),12.1882640949554)</f>
        <v>12.1882640949554</v>
      </c>
      <c r="U52" s="71">
        <f ca="1">IFERROR(__xludf.DUMMYFUNCTION("""COMPUTED_VALUE"""),0.731074607884697)</f>
        <v>0.73107460788469703</v>
      </c>
      <c r="V52" s="71">
        <f ca="1">IFERROR(__xludf.DUMMYFUNCTION("""COMPUTED_VALUE"""),5.5500009105312)</f>
        <v>5.5500009105311996</v>
      </c>
      <c r="W52" s="72">
        <f ca="1">IFERROR(__xludf.DUMMYFUNCTION("""COMPUTED_VALUE"""),5.2359395771493)</f>
        <v>5.2359395771493</v>
      </c>
      <c r="X52" s="72">
        <f ca="1">IFERROR(__xludf.DUMMYFUNCTION("""COMPUTED_VALUE"""),0.314061333381895)</f>
        <v>0.31406133338189501</v>
      </c>
      <c r="Y52" s="67">
        <f ca="1">IFERROR(__xludf.DUMMYFUNCTION("""COMPUTED_VALUE"""),0.731074607884697)</f>
        <v>0.73107460788469703</v>
      </c>
      <c r="Z52" s="66">
        <f ca="1">IFERROR(__xludf.DUMMYFUNCTION("""COMPUTED_VALUE"""),368.890604026845)</f>
        <v>368.89060402684498</v>
      </c>
      <c r="AA52" s="67" t="str">
        <f ca="1">IFERROR(__xludf.DUMMYFUNCTION("""COMPUTED_VALUE"""),"JUST AVERAGE")</f>
        <v>JUST AVERAGE</v>
      </c>
    </row>
    <row r="53" spans="1:27" ht="14.25" x14ac:dyDescent="0.2">
      <c r="A53" s="56">
        <v>2024</v>
      </c>
      <c r="B53" s="57" t="s">
        <v>9</v>
      </c>
      <c r="C53" s="58" t="s">
        <v>89</v>
      </c>
      <c r="D53" s="65">
        <f ca="1">IFERROR(__xludf.DUMMYFUNCTION("""COMPUTED_VALUE"""),174811.14)</f>
        <v>174811.14</v>
      </c>
      <c r="E53" s="65">
        <f ca="1">IFERROR(__xludf.DUMMYFUNCTION("""COMPUTED_VALUE"""),177734.33)</f>
        <v>177734.33</v>
      </c>
      <c r="F53" s="59">
        <f t="shared" ca="1" si="0"/>
        <v>-2923.1899999999732</v>
      </c>
      <c r="G53" s="70" t="str">
        <f ca="1">IFERROR(__xludf.DUMMYFUNCTION("""COMPUTED_VALUE"""),"Chop Cheong Bee Sdn Bhd")</f>
        <v>Chop Cheong Bee Sdn Bhd</v>
      </c>
      <c r="H53" s="61">
        <f ca="1">IFERROR(__xludf.DUMMYFUNCTION("""COMPUTED_VALUE"""),15000)</f>
        <v>15000</v>
      </c>
      <c r="I53" s="62">
        <f ca="1">IFERROR(__xludf.DUMMYFUNCTION("""COMPUTED_VALUE"""),2.13)</f>
        <v>2.13</v>
      </c>
      <c r="J53" s="61">
        <f ca="1">IFERROR(__xludf.DUMMYFUNCTION("""COMPUTED_VALUE"""),482)</f>
        <v>482</v>
      </c>
      <c r="K53" s="63">
        <f ca="1">IFERROR(__xludf.DUMMYFUNCTION("""COMPUTED_VALUE"""),0.0321333333333333)</f>
        <v>3.2133333333333298E-2</v>
      </c>
      <c r="L53" s="63">
        <f ca="1">IFERROR(__xludf.DUMMYFUNCTION("""COMPUTED_VALUE"""),0.967866666666666)</f>
        <v>0.96786666666666599</v>
      </c>
      <c r="M53" s="64">
        <f ca="1">IFERROR(__xludf.DUMMYFUNCTION("""COMPUTED_VALUE"""),35)</f>
        <v>35</v>
      </c>
      <c r="N53" s="64">
        <f ca="1">IFERROR(__xludf.DUMMYFUNCTION("""COMPUTED_VALUE"""),919.727)</f>
        <v>919.72699999999998</v>
      </c>
      <c r="O53" s="60">
        <f ca="1">IFERROR(__xludf.DUMMYFUNCTION("""COMPUTED_VALUE"""),1.46)</f>
        <v>1.46</v>
      </c>
      <c r="P53" s="66">
        <f ca="1">IFERROR(__xludf.DUMMYFUNCTION("""COMPUTED_VALUE"""),14518)</f>
        <v>14518</v>
      </c>
      <c r="Q53" s="65">
        <f ca="1">IFERROR(__xludf.DUMMYFUNCTION("""COMPUTED_VALUE"""),31497.5)</f>
        <v>31497.5</v>
      </c>
      <c r="R53" s="65">
        <f ca="1">IFERROR(__xludf.DUMMYFUNCTION("""COMPUTED_VALUE"""),2.17)</f>
        <v>2.17</v>
      </c>
      <c r="S53" s="59">
        <f ca="1">IFERROR(__xludf.DUMMYFUNCTION("""COMPUTED_VALUE"""),12.0409932497589)</f>
        <v>12.0409932497589</v>
      </c>
      <c r="T53" s="72">
        <f ca="1">IFERROR(__xludf.DUMMYFUNCTION("""COMPUTED_VALUE"""),12.2423426091748)</f>
        <v>12.2423426091748</v>
      </c>
      <c r="U53" s="72">
        <f ca="1">IFERROR(__xludf.DUMMYFUNCTION("""COMPUTED_VALUE"""),-0.201349359415897)</f>
        <v>-0.20134935941589699</v>
      </c>
      <c r="V53" s="72">
        <f ca="1">IFERROR(__xludf.DUMMYFUNCTION("""COMPUTED_VALUE"""),5.55000047622827)</f>
        <v>5.55000047622827</v>
      </c>
      <c r="W53" s="72">
        <f ca="1">IFERROR(__xludf.DUMMYFUNCTION("""COMPUTED_VALUE"""),5.6428075244067)</f>
        <v>5.6428075244066997</v>
      </c>
      <c r="X53" s="72">
        <f ca="1">IFERROR(__xludf.DUMMYFUNCTION("""COMPUTED_VALUE"""),-0.0928070481784271)</f>
        <v>-9.2807048178427096E-2</v>
      </c>
      <c r="Y53" s="67">
        <f ca="1">IFERROR(__xludf.DUMMYFUNCTION("""COMPUTED_VALUE"""),-0.201349359415897)</f>
        <v>-0.20134935941589699</v>
      </c>
      <c r="Z53" s="66">
        <f ca="1">IFERROR(__xludf.DUMMYFUNCTION("""COMPUTED_VALUE"""),359.635388127853)</f>
        <v>359.63538812785299</v>
      </c>
      <c r="AA53" s="67" t="str">
        <f ca="1">IFERROR(__xludf.DUMMYFUNCTION("""COMPUTED_VALUE"""),"VERY BAD")</f>
        <v>VERY BAD</v>
      </c>
    </row>
    <row r="54" spans="1:27" ht="14.25" x14ac:dyDescent="0.2">
      <c r="A54" s="73">
        <v>2025</v>
      </c>
      <c r="B54" s="74" t="s">
        <v>5</v>
      </c>
      <c r="C54" s="75" t="s">
        <v>90</v>
      </c>
      <c r="D54" s="76">
        <f ca="1">IFERROR(__xludf.DUMMYFUNCTION("TRANSPOSE(IMPORTRANGE(""1o4Ac6NI0SfLibsumFt9f9lHwJFVrF2ykccRsQvuxGAI"", ""2025!C12:G12""))"),479216.72)</f>
        <v>479216.72</v>
      </c>
      <c r="E54" s="76">
        <f ca="1">IFERROR(__xludf.DUMMYFUNCTION("TRANSPOSE(IMPORTRANGE(""1o4Ac6NI0SfLibsumFt9f9lHwJFVrF2ykccRsQvuxGAI"", ""2025!C37:G37""))"),433056.78)</f>
        <v>433056.78</v>
      </c>
      <c r="F54" s="77">
        <f t="shared" ca="1" si="0"/>
        <v>46159.939999999944</v>
      </c>
      <c r="G54" s="78" t="str">
        <f ca="1">IFERROR(__xludf.DUMMYFUNCTION("TRANSPOSE(IMPORTRANGE(""1o4Ac6NI0SfLibsumFt9f9lHwJFVrF2ykccRsQvuxGAI"", ""2025!C45:F65""))"),"Goldform Corporation Sdn Bhd")</f>
        <v>Goldform Corporation Sdn Bhd</v>
      </c>
      <c r="H54" s="79">
        <f ca="1">IFERROR(__xludf.DUMMYFUNCTION("""COMPUTED_VALUE"""),35040)</f>
        <v>35040</v>
      </c>
      <c r="I54" s="80">
        <f ca="1">IFERROR(__xludf.DUMMYFUNCTION("""COMPUTED_VALUE"""),1.85)</f>
        <v>1.85</v>
      </c>
      <c r="J54" s="79">
        <f ca="1">IFERROR(__xludf.DUMMYFUNCTION("""COMPUTED_VALUE"""),1590)</f>
        <v>1590</v>
      </c>
      <c r="K54" s="81">
        <f ca="1">IFERROR(__xludf.DUMMYFUNCTION("""COMPUTED_VALUE"""),0.0453767123287671)</f>
        <v>4.5376712328767103E-2</v>
      </c>
      <c r="L54" s="81">
        <f ca="1">IFERROR(__xludf.DUMMYFUNCTION("""COMPUTED_VALUE"""),0.954623287671232)</f>
        <v>0.95462328767123195</v>
      </c>
      <c r="M54" s="82">
        <f ca="1">IFERROR(__xludf.DUMMYFUNCTION("""COMPUTED_VALUE"""),32)</f>
        <v>32</v>
      </c>
      <c r="N54" s="79">
        <f ca="1">IFERROR(__xludf.DUMMYFUNCTION("""COMPUTED_VALUE"""),2505)</f>
        <v>2505</v>
      </c>
      <c r="O54" s="80">
        <f ca="1">IFERROR(__xludf.DUMMYFUNCTION("""COMPUTED_VALUE"""),1.5396438941964)</f>
        <v>1.5396438941963999</v>
      </c>
      <c r="P54" s="83">
        <f ca="1">IFERROR(__xludf.DUMMYFUNCTION("""COMPUTED_VALUE"""),33450)</f>
        <v>33450</v>
      </c>
      <c r="Q54" s="77">
        <f ca="1">IFERROR(__xludf.DUMMYFUNCTION("""COMPUTED_VALUE"""),81349.98)</f>
        <v>81349.98</v>
      </c>
      <c r="R54" s="77">
        <f ca="1">IFERROR(__xludf.DUMMYFUNCTION("""COMPUTED_VALUE"""),2.43198744394618)</f>
        <v>2.4319874439461802</v>
      </c>
      <c r="S54" s="77">
        <f ca="1">IFERROR(__xludf.DUMMYFUNCTION("""COMPUTED_VALUE"""),14.3263593423019)</f>
        <v>14.326359342301901</v>
      </c>
      <c r="T54" s="84">
        <f ca="1">IFERROR(__xludf.DUMMYFUNCTION("""COMPUTED_VALUE"""),12.9463910313901)</f>
        <v>12.9463910313901</v>
      </c>
      <c r="U54" s="84">
        <f ca="1">IFERROR(__xludf.DUMMYFUNCTION("""COMPUTED_VALUE"""),1.3799683109118)</f>
        <v>1.3799683109117999</v>
      </c>
      <c r="V54" s="84">
        <f ca="1">IFERROR(__xludf.DUMMYFUNCTION("""COMPUTED_VALUE"""),5.88822173035568)</f>
        <v>5.8882217303556796</v>
      </c>
      <c r="W54" s="84">
        <f ca="1">IFERROR(__xludf.DUMMYFUNCTION("""COMPUTED_VALUE"""),5.32337905922042)</f>
        <v>5.3233790592204198</v>
      </c>
      <c r="X54" s="84">
        <f ca="1">IFERROR(__xludf.DUMMYFUNCTION("""COMPUTED_VALUE"""),0.564842671135259)</f>
        <v>0.56484267113525899</v>
      </c>
      <c r="Y54" s="84">
        <f ca="1">IFERROR(__xludf.DUMMYFUNCTION("""COMPUTED_VALUE"""),1.3799683109118)</f>
        <v>1.3799683109117999</v>
      </c>
      <c r="Z54" s="85">
        <f ca="1">IFERROR(__xludf.DUMMYFUNCTION("""COMPUTED_VALUE"""),471.219322627604)</f>
        <v>471.21932262760401</v>
      </c>
      <c r="AA54" s="86" t="str">
        <f ca="1">IFERROR(__xludf.DUMMYFUNCTION("""COMPUTED_VALUE"""),"VERY GOOD")</f>
        <v>VERY GOOD</v>
      </c>
    </row>
    <row r="55" spans="1:27" ht="14.25" x14ac:dyDescent="0.2">
      <c r="A55" s="73">
        <v>2025</v>
      </c>
      <c r="B55" s="74" t="s">
        <v>5</v>
      </c>
      <c r="C55" s="75" t="s">
        <v>91</v>
      </c>
      <c r="D55" s="76">
        <f ca="1">IFERROR(__xludf.DUMMYFUNCTION("""COMPUTED_VALUE"""),447975.66)</f>
        <v>447975.66</v>
      </c>
      <c r="E55" s="76">
        <f ca="1">IFERROR(__xludf.DUMMYFUNCTION("""COMPUTED_VALUE"""),432300.919999999)</f>
        <v>432300.91999999899</v>
      </c>
      <c r="F55" s="77">
        <f t="shared" ca="1" si="0"/>
        <v>15674.74000000098</v>
      </c>
      <c r="G55" s="78" t="str">
        <f ca="1">IFERROR(__xludf.DUMMYFUNCTION("""COMPUTED_VALUE"""),"Goldform Corporation Sdn Bhd")</f>
        <v>Goldform Corporation Sdn Bhd</v>
      </c>
      <c r="H55" s="79">
        <f ca="1">IFERROR(__xludf.DUMMYFUNCTION("""COMPUTED_VALUE"""),34720)</f>
        <v>34720</v>
      </c>
      <c r="I55" s="80">
        <f ca="1">IFERROR(__xludf.DUMMYFUNCTION("""COMPUTED_VALUE"""),1.85)</f>
        <v>1.85</v>
      </c>
      <c r="J55" s="79">
        <f ca="1">IFERROR(__xludf.DUMMYFUNCTION("""COMPUTED_VALUE"""),1972)</f>
        <v>1972</v>
      </c>
      <c r="K55" s="81">
        <f ca="1">IFERROR(__xludf.DUMMYFUNCTION("""COMPUTED_VALUE"""),0.0567972350230414)</f>
        <v>5.6797235023041397E-2</v>
      </c>
      <c r="L55" s="81">
        <f ca="1">IFERROR(__xludf.DUMMYFUNCTION("""COMPUTED_VALUE"""),0.943202764976958)</f>
        <v>0.94320276497695799</v>
      </c>
      <c r="M55" s="82">
        <f ca="1">IFERROR(__xludf.DUMMYFUNCTION("""COMPUTED_VALUE"""),33)</f>
        <v>33</v>
      </c>
      <c r="N55" s="79">
        <f ca="1">IFERROR(__xludf.DUMMYFUNCTION("""COMPUTED_VALUE"""),2420)</f>
        <v>2420</v>
      </c>
      <c r="O55" s="80">
        <f ca="1">IFERROR(__xludf.DUMMYFUNCTION("""COMPUTED_VALUE"""),1.59532277730665)</f>
        <v>1.5953227773066501</v>
      </c>
      <c r="P55" s="83">
        <f ca="1">IFERROR(__xludf.DUMMYFUNCTION("""COMPUTED_VALUE"""),32748)</f>
        <v>32748</v>
      </c>
      <c r="Q55" s="77">
        <f ca="1">IFERROR(__xludf.DUMMYFUNCTION("""COMPUTED_VALUE"""),75846.72)</f>
        <v>75846.720000000001</v>
      </c>
      <c r="R55" s="77">
        <f ca="1">IFERROR(__xludf.DUMMYFUNCTION("""COMPUTED_VALUE"""),2.31607182117991)</f>
        <v>2.3160718211799098</v>
      </c>
      <c r="S55" s="77">
        <f ca="1">IFERROR(__xludf.DUMMYFUNCTION("""COMPUTED_VALUE"""),13.6794814950531)</f>
        <v>13.6794814950531</v>
      </c>
      <c r="T55" s="84">
        <f ca="1">IFERROR(__xludf.DUMMYFUNCTION("""COMPUTED_VALUE"""),13.2008342494198)</f>
        <v>13.200834249419801</v>
      </c>
      <c r="U55" s="84">
        <f ca="1">IFERROR(__xludf.DUMMYFUNCTION("""COMPUTED_VALUE"""),0.478647245633322)</f>
        <v>0.478647245633322</v>
      </c>
      <c r="V55" s="84">
        <f ca="1">IFERROR(__xludf.DUMMYFUNCTION("""COMPUTED_VALUE"""),5.90000015821382)</f>
        <v>5.9000001582138202</v>
      </c>
      <c r="W55" s="84">
        <f ca="1">IFERROR(__xludf.DUMMYFUNCTION("""COMPUTED_VALUE"""),5.69966532501339)</f>
        <v>5.69966532501339</v>
      </c>
      <c r="X55" s="84">
        <f ca="1">IFERROR(__xludf.DUMMYFUNCTION("""COMPUTED_VALUE"""),0.200334833200434)</f>
        <v>0.20033483320043399</v>
      </c>
      <c r="Y55" s="84">
        <f ca="1">IFERROR(__xludf.DUMMYFUNCTION("""COMPUTED_VALUE"""),0.478647245633322)</f>
        <v>0.478647245633322</v>
      </c>
      <c r="Z55" s="85">
        <f ca="1">IFERROR(__xludf.DUMMYFUNCTION("""COMPUTED_VALUE"""),414.948866071385)</f>
        <v>414.948866071385</v>
      </c>
      <c r="AA55" s="86" t="str">
        <f ca="1">IFERROR(__xludf.DUMMYFUNCTION("""COMPUTED_VALUE"""),"VERY BAD")</f>
        <v>VERY BAD</v>
      </c>
    </row>
    <row r="56" spans="1:27" ht="14.25" x14ac:dyDescent="0.2">
      <c r="A56" s="73">
        <v>2025</v>
      </c>
      <c r="B56" s="74" t="s">
        <v>5</v>
      </c>
      <c r="C56" s="75" t="s">
        <v>92</v>
      </c>
      <c r="D56" s="76">
        <f ca="1">IFERROR(__xludf.DUMMYFUNCTION("""COMPUTED_VALUE"""),430719.54)</f>
        <v>430719.54</v>
      </c>
      <c r="E56" s="76">
        <f ca="1">IFERROR(__xludf.DUMMYFUNCTION("""COMPUTED_VALUE"""),447040.119999999)</f>
        <v>447040.11999999901</v>
      </c>
      <c r="F56" s="77">
        <f t="shared" ca="1" si="0"/>
        <v>-16320.579999999027</v>
      </c>
      <c r="G56" s="78" t="str">
        <f ca="1">IFERROR(__xludf.DUMMYFUNCTION("""COMPUTED_VALUE"""),"Goldform Corporation Sdn Bhd")</f>
        <v>Goldform Corporation Sdn Bhd</v>
      </c>
      <c r="H56" s="79">
        <f ca="1">IFERROR(__xludf.DUMMYFUNCTION("""COMPUTED_VALUE"""),34960)</f>
        <v>34960</v>
      </c>
      <c r="I56" s="77">
        <f ca="1">IFERROR(__xludf.DUMMYFUNCTION("""COMPUTED_VALUE"""),1.85)</f>
        <v>1.85</v>
      </c>
      <c r="J56" s="79">
        <f ca="1">IFERROR(__xludf.DUMMYFUNCTION("""COMPUTED_VALUE"""),2239)</f>
        <v>2239</v>
      </c>
      <c r="K56" s="81">
        <f ca="1">IFERROR(__xludf.DUMMYFUNCTION("""COMPUTED_VALUE"""),0.0640446224256292)</f>
        <v>6.4044622425629194E-2</v>
      </c>
      <c r="L56" s="81">
        <f ca="1">IFERROR(__xludf.DUMMYFUNCTION("""COMPUTED_VALUE"""),0.93595537757437)</f>
        <v>0.93595537757436997</v>
      </c>
      <c r="M56" s="82">
        <f ca="1">IFERROR(__xludf.DUMMYFUNCTION("""COMPUTED_VALUE"""),33)</f>
        <v>33</v>
      </c>
      <c r="N56" s="79">
        <f ca="1">IFERROR(__xludf.DUMMYFUNCTION("""COMPUTED_VALUE"""),2557)</f>
        <v>2557</v>
      </c>
      <c r="O56" s="80">
        <f ca="1">IFERROR(__xludf.DUMMYFUNCTION("""COMPUTED_VALUE"""),1.74683622477881)</f>
        <v>1.7468362247788101</v>
      </c>
      <c r="P56" s="83">
        <f ca="1">IFERROR(__xludf.DUMMYFUNCTION("""COMPUTED_VALUE"""),32721)</f>
        <v>32721</v>
      </c>
      <c r="Q56" s="77">
        <f ca="1">IFERROR(__xludf.DUMMYFUNCTION("""COMPUTED_VALUE"""),73189.46)</f>
        <v>73189.460000000006</v>
      </c>
      <c r="R56" s="77">
        <f ca="1">IFERROR(__xludf.DUMMYFUNCTION("""COMPUTED_VALUE"""),2.23677332599859)</f>
        <v>2.2367733259985898</v>
      </c>
      <c r="S56" s="77">
        <f ca="1">IFERROR(__xludf.DUMMYFUNCTION("""COMPUTED_VALUE"""),13.163397817915)</f>
        <v>13.163397817915</v>
      </c>
      <c r="T56" s="84">
        <f ca="1">IFERROR(__xludf.DUMMYFUNCTION("""COMPUTED_VALUE"""),13.6621778063017)</f>
        <v>13.662177806301701</v>
      </c>
      <c r="U56" s="84">
        <f ca="1">IFERROR(__xludf.DUMMYFUNCTION("""COMPUTED_VALUE"""),-0.498779988386662)</f>
        <v>-0.49877998838666199</v>
      </c>
      <c r="V56" s="84">
        <f ca="1">IFERROR(__xludf.DUMMYFUNCTION("""COMPUTED_VALUE"""),5.88260304147619)</f>
        <v>5.8826030414761901</v>
      </c>
      <c r="W56" s="84">
        <f ca="1">IFERROR(__xludf.DUMMYFUNCTION("""COMPUTED_VALUE"""),6.10798494755938)</f>
        <v>6.1079849475593804</v>
      </c>
      <c r="X56" s="84">
        <f ca="1">IFERROR(__xludf.DUMMYFUNCTION("""COMPUTED_VALUE"""),-0.225381906083197)</f>
        <v>-0.225381906083197</v>
      </c>
      <c r="Y56" s="84">
        <f ca="1">IFERROR(__xludf.DUMMYFUNCTION("""COMPUTED_VALUE"""),-0.498779988386661)</f>
        <v>-0.49877998838666099</v>
      </c>
      <c r="Z56" s="85">
        <f ca="1">IFERROR(__xludf.DUMMYFUNCTION("""COMPUTED_VALUE"""),363.170855936801)</f>
        <v>363.17085593680099</v>
      </c>
      <c r="AA56" s="86" t="str">
        <f ca="1">IFERROR(__xludf.DUMMYFUNCTION("""COMPUTED_VALUE"""),"VERY BAD")</f>
        <v>VERY BAD</v>
      </c>
    </row>
    <row r="57" spans="1:27" ht="14.25" x14ac:dyDescent="0.2">
      <c r="A57" s="73">
        <v>2025</v>
      </c>
      <c r="B57" s="74" t="s">
        <v>5</v>
      </c>
      <c r="C57" s="75" t="s">
        <v>93</v>
      </c>
      <c r="D57" s="76">
        <f ca="1">IFERROR(__xludf.DUMMYFUNCTION("""COMPUTED_VALUE"""),348802.3)</f>
        <v>348802.3</v>
      </c>
      <c r="E57" s="76">
        <f ca="1">IFERROR(__xludf.DUMMYFUNCTION("""COMPUTED_VALUE"""),378615.149999999)</f>
        <v>378615.14999999898</v>
      </c>
      <c r="F57" s="77">
        <f t="shared" ca="1" si="0"/>
        <v>-29812.849999998987</v>
      </c>
      <c r="G57" s="78" t="str">
        <f ca="1">IFERROR(__xludf.DUMMYFUNCTION("""COMPUTED_VALUE"""),"Goldform Corporation Sdn Bhd")</f>
        <v>Goldform Corporation Sdn Bhd</v>
      </c>
      <c r="H57" s="79">
        <f ca="1">IFERROR(__xludf.DUMMYFUNCTION("""COMPUTED_VALUE"""),32800)</f>
        <v>32800</v>
      </c>
      <c r="I57" s="77">
        <f ca="1">IFERROR(__xludf.DUMMYFUNCTION("""COMPUTED_VALUE"""),1.85)</f>
        <v>1.85</v>
      </c>
      <c r="J57" s="79">
        <f ca="1">IFERROR(__xludf.DUMMYFUNCTION("""COMPUTED_VALUE"""),2400)</f>
        <v>2400</v>
      </c>
      <c r="K57" s="81">
        <f ca="1">IFERROR(__xludf.DUMMYFUNCTION("""COMPUTED_VALUE"""),0.073170731707317)</f>
        <v>7.3170731707316999E-2</v>
      </c>
      <c r="L57" s="81">
        <f ca="1">IFERROR(__xludf.DUMMYFUNCTION("""COMPUTED_VALUE"""),0.926829268292683)</f>
        <v>0.92682926829268297</v>
      </c>
      <c r="M57" s="82">
        <f ca="1">IFERROR(__xludf.DUMMYFUNCTION("""COMPUTED_VALUE"""),36.07)</f>
        <v>36.07</v>
      </c>
      <c r="N57" s="79">
        <f ca="1">IFERROR(__xludf.DUMMYFUNCTION("""COMPUTED_VALUE"""),2065)</f>
        <v>2065</v>
      </c>
      <c r="O57" s="80">
        <f ca="1">IFERROR(__xludf.DUMMYFUNCTION("""COMPUTED_VALUE"""),1.74585551654834)</f>
        <v>1.74585551654834</v>
      </c>
      <c r="P57" s="83">
        <f ca="1">IFERROR(__xludf.DUMMYFUNCTION("""COMPUTED_VALUE"""),30400)</f>
        <v>30400</v>
      </c>
      <c r="Q57" s="77">
        <f ca="1">IFERROR(__xludf.DUMMYFUNCTION("""COMPUTED_VALUE"""),59140.06)</f>
        <v>59140.06</v>
      </c>
      <c r="R57" s="77">
        <f ca="1">IFERROR(__xludf.DUMMYFUNCTION("""COMPUTED_VALUE"""),1.94539671052631)</f>
        <v>1.9453967105263099</v>
      </c>
      <c r="S57" s="77">
        <f ca="1">IFERROR(__xludf.DUMMYFUNCTION("""COMPUTED_VALUE"""),11.473759868421)</f>
        <v>11.473759868421</v>
      </c>
      <c r="T57" s="84">
        <f ca="1">IFERROR(__xludf.DUMMYFUNCTION("""COMPUTED_VALUE"""),12.4544457236842)</f>
        <v>12.4544457236842</v>
      </c>
      <c r="U57" s="84">
        <f ca="1">IFERROR(__xludf.DUMMYFUNCTION("""COMPUTED_VALUE"""),-0.980685855263157)</f>
        <v>-0.98068585526315699</v>
      </c>
      <c r="V57" s="84">
        <f ca="1">IFERROR(__xludf.DUMMYFUNCTION("""COMPUTED_VALUE"""),5.89722600890158)</f>
        <v>5.8972260089015798</v>
      </c>
      <c r="W57" s="84">
        <f ca="1">IFERROR(__xludf.DUMMYFUNCTION("""COMPUTED_VALUE"""),6.40200821575088)</f>
        <v>6.4020082157508797</v>
      </c>
      <c r="X57" s="84">
        <f ca="1">IFERROR(__xludf.DUMMYFUNCTION("""COMPUTED_VALUE"""),-0.504782206849299)</f>
        <v>-0.50478220684929898</v>
      </c>
      <c r="Y57" s="84">
        <f ca="1">IFERROR(__xludf.DUMMYFUNCTION("""COMPUTED_VALUE"""),-0.980685855263157)</f>
        <v>-0.98068585526315699</v>
      </c>
      <c r="Z57" s="85">
        <f ca="1">IFERROR(__xludf.DUMMYFUNCTION("""COMPUTED_VALUE"""),286.321180013874)</f>
        <v>286.32118001387403</v>
      </c>
      <c r="AA57" s="86" t="str">
        <f ca="1">IFERROR(__xludf.DUMMYFUNCTION("""COMPUTED_VALUE"""),"VERY BAD")</f>
        <v>VERY BAD</v>
      </c>
    </row>
    <row r="58" spans="1:27" ht="14.25" x14ac:dyDescent="0.2">
      <c r="A58" s="73">
        <v>2025</v>
      </c>
      <c r="B58" s="74" t="s">
        <v>5</v>
      </c>
      <c r="C58" s="75" t="s">
        <v>94</v>
      </c>
      <c r="D58" s="77">
        <f ca="1">IFERROR(__xludf.DUMMYFUNCTION("""COMPUTED_VALUE"""),379456.74)</f>
        <v>379456.74</v>
      </c>
      <c r="E58" s="77">
        <f ca="1">IFERROR(__xludf.DUMMYFUNCTION("""COMPUTED_VALUE"""),396264.42)</f>
        <v>396264.42</v>
      </c>
      <c r="F58" s="77">
        <f t="shared" ca="1" si="0"/>
        <v>-16807.679999999993</v>
      </c>
      <c r="G58" s="79" t="s">
        <v>95</v>
      </c>
      <c r="H58" s="87">
        <v>32800</v>
      </c>
      <c r="I58" s="76">
        <v>1.85</v>
      </c>
      <c r="J58" s="87">
        <v>3382</v>
      </c>
      <c r="K58" s="88">
        <f>IFERROR(J58/H58, 0)</f>
        <v>0.10310975609756097</v>
      </c>
      <c r="L58" s="88">
        <f>IFERROR((H58-J58)/H58, 0)</f>
        <v>0.89689024390243899</v>
      </c>
      <c r="M58" s="89">
        <v>38</v>
      </c>
      <c r="N58" s="87">
        <v>2204</v>
      </c>
      <c r="O58" s="90">
        <f>IFERROR((N58*50)/Q58, 0)</f>
        <v>1.6872053036426027</v>
      </c>
      <c r="P58" s="87">
        <f>IFERROR(H58-J58, 0)</f>
        <v>29418</v>
      </c>
      <c r="Q58" s="76">
        <v>65315.11</v>
      </c>
      <c r="R58" s="76">
        <f>IFERROR(Q58/P58, 0)</f>
        <v>2.2202430484737237</v>
      </c>
      <c r="S58" s="76">
        <f>IFERROR((#REF!+#REF!)/P58, 0)</f>
        <v>0</v>
      </c>
      <c r="T58" s="76">
        <f>IFERROR(#REF!/P58, 0)</f>
        <v>0</v>
      </c>
      <c r="U58" s="76">
        <f>IFERROR(S58-T58, 0)</f>
        <v>0</v>
      </c>
      <c r="V58" s="76">
        <f>IFERROR((#REF!+#REF!)/Q58, 0)</f>
        <v>0</v>
      </c>
      <c r="W58" s="76">
        <f>IFERROR(#REF!/Q58, 0)</f>
        <v>0</v>
      </c>
      <c r="X58" s="76">
        <f>IFERROR(V58-W58, 0)</f>
        <v>0</v>
      </c>
      <c r="Y58" s="91">
        <f>IFERROR(A58/P58, 0)</f>
        <v>6.8835406893738529E-2</v>
      </c>
      <c r="Z58" s="92">
        <f>IFERROR(100*(100*(R58)*((P58/H58))/(O58*M58)), 0)</f>
        <v>310.59058759369276</v>
      </c>
      <c r="AA58" s="93" t="s">
        <v>96</v>
      </c>
    </row>
    <row r="59" spans="1:27" ht="14.25" x14ac:dyDescent="0.2">
      <c r="A59" s="73">
        <v>2025</v>
      </c>
      <c r="B59" s="74" t="s">
        <v>8</v>
      </c>
      <c r="C59" s="75" t="s">
        <v>90</v>
      </c>
      <c r="D59" s="77">
        <f ca="1">IFERROR(__xludf.DUMMYFUNCTION("TRANSPOSE(IMPORTRANGE(""1OP-qxVLNURBqstk-WZQd8qB2vYxDQLc8s35zWl_CMzo"", ""2025!C12:G12""))"),480302.05)</f>
        <v>480302.05</v>
      </c>
      <c r="E59" s="77">
        <f ca="1">IFERROR(__xludf.DUMMYFUNCTION("TRANSPOSE(IMPORTRANGE(""1OP-qxVLNURBqstk-WZQd8qB2vYxDQLc8s35zWl_CMzo"", ""2025!C37:G37""))"),462223.55)</f>
        <v>462223.55</v>
      </c>
      <c r="F59" s="77">
        <f t="shared" ca="1" si="0"/>
        <v>18078.5</v>
      </c>
      <c r="G59" s="79" t="str">
        <f ca="1">IFERROR(__xludf.DUMMYFUNCTION("TRANSPOSE(IMPORTRANGE(""1OP-qxVLNURBqstk-WZQd8qB2vYxDQLc8s35zWl_CMzo"", ""2025!C45:F65""))"),"Chop Cheong Bee Sdn Bhd")</f>
        <v>Chop Cheong Bee Sdn Bhd</v>
      </c>
      <c r="H59" s="79">
        <f ca="1">IFERROR(__xludf.DUMMYFUNCTION("""COMPUTED_VALUE"""),43000)</f>
        <v>43000</v>
      </c>
      <c r="I59" s="80">
        <f ca="1">IFERROR(__xludf.DUMMYFUNCTION("""COMPUTED_VALUE"""),2.12)</f>
        <v>2.12</v>
      </c>
      <c r="J59" s="79">
        <f ca="1">IFERROR(__xludf.DUMMYFUNCTION("""COMPUTED_VALUE"""),1387)</f>
        <v>1387</v>
      </c>
      <c r="K59" s="81">
        <f ca="1">IFERROR(__xludf.DUMMYFUNCTION("""COMPUTED_VALUE"""),0.0322558139534883)</f>
        <v>3.2255813953488303E-2</v>
      </c>
      <c r="L59" s="81">
        <f ca="1">IFERROR(__xludf.DUMMYFUNCTION("""COMPUTED_VALUE"""),0.967744186046511)</f>
        <v>0.96774418604651102</v>
      </c>
      <c r="M59" s="82">
        <f ca="1">IFERROR(__xludf.DUMMYFUNCTION("""COMPUTED_VALUE"""),42)</f>
        <v>42</v>
      </c>
      <c r="N59" s="79">
        <f ca="1">IFERROR(__xludf.DUMMYFUNCTION("""COMPUTED_VALUE"""),2731)</f>
        <v>2731</v>
      </c>
      <c r="O59" s="80">
        <f ca="1">IFERROR(__xludf.DUMMYFUNCTION("""COMPUTED_VALUE"""),1.57786665033527)</f>
        <v>1.5778666503352701</v>
      </c>
      <c r="P59" s="79">
        <f ca="1">IFERROR(__xludf.DUMMYFUNCTION("""COMPUTED_VALUE"""),41613)</f>
        <v>41613</v>
      </c>
      <c r="Q59" s="77">
        <f ca="1">IFERROR(__xludf.DUMMYFUNCTION("""COMPUTED_VALUE"""),86540.9)</f>
        <v>86540.9</v>
      </c>
      <c r="R59" s="77">
        <f ca="1">IFERROR(__xludf.DUMMYFUNCTION("""COMPUTED_VALUE"""),2.07966020234061)</f>
        <v>2.0796602023406101</v>
      </c>
      <c r="S59" s="77">
        <f ca="1">IFERROR(__xludf.DUMMYFUNCTION("""COMPUTED_VALUE"""),11.5421154446927)</f>
        <v>11.542115444692699</v>
      </c>
      <c r="T59" s="84">
        <f ca="1">IFERROR(__xludf.DUMMYFUNCTION("""COMPUTED_VALUE"""),11.1076718813832)</f>
        <v>11.107671881383199</v>
      </c>
      <c r="U59" s="84">
        <f ca="1">IFERROR(__xludf.DUMMYFUNCTION("""COMPUTED_VALUE"""),0.434443563309542)</f>
        <v>0.43444356330954198</v>
      </c>
      <c r="V59" s="84">
        <f ca="1">IFERROR(__xludf.DUMMYFUNCTION("""COMPUTED_VALUE"""),5.55000063553764)</f>
        <v>5.5500006355376401</v>
      </c>
      <c r="W59" s="84">
        <f ca="1">IFERROR(__xludf.DUMMYFUNCTION("""COMPUTED_VALUE"""),5.34109941079882)</f>
        <v>5.3410994107988197</v>
      </c>
      <c r="X59" s="84">
        <f ca="1">IFERROR(__xludf.DUMMYFUNCTION("""COMPUTED_VALUE"""),0.208901224738823)</f>
        <v>0.208901224738823</v>
      </c>
      <c r="Y59" s="84">
        <f ca="1">IFERROR(__xludf.DUMMYFUNCTION("""COMPUTED_VALUE"""),0.434443563309542)</f>
        <v>0.43444356330954198</v>
      </c>
      <c r="Z59" s="85">
        <f ca="1">IFERROR(__xludf.DUMMYFUNCTION("""COMPUTED_VALUE"""),303.692008890581)</f>
        <v>303.69200889058101</v>
      </c>
      <c r="AA59" s="86" t="str">
        <f ca="1">IFERROR(__xludf.DUMMYFUNCTION("""COMPUTED_VALUE"""),"VERY BAD")</f>
        <v>VERY BAD</v>
      </c>
    </row>
    <row r="60" spans="1:27" ht="14.25" x14ac:dyDescent="0.2">
      <c r="A60" s="73">
        <v>2025</v>
      </c>
      <c r="B60" s="74" t="s">
        <v>8</v>
      </c>
      <c r="C60" s="75" t="s">
        <v>91</v>
      </c>
      <c r="D60" s="77">
        <f ca="1">IFERROR(__xludf.DUMMYFUNCTION("""COMPUTED_VALUE"""),548566.87)</f>
        <v>548566.87</v>
      </c>
      <c r="E60" s="77">
        <f ca="1">IFERROR(__xludf.DUMMYFUNCTION("""COMPUTED_VALUE"""),476389.75)</f>
        <v>476389.75</v>
      </c>
      <c r="F60" s="77">
        <f t="shared" ca="1" si="0"/>
        <v>72177.119999999995</v>
      </c>
      <c r="G60" s="79" t="str">
        <f ca="1">IFERROR(__xludf.DUMMYFUNCTION("""COMPUTED_VALUE"""),"Chop Cheong Bee Sdn Bhd")</f>
        <v>Chop Cheong Bee Sdn Bhd</v>
      </c>
      <c r="H60" s="79">
        <f ca="1">IFERROR(__xludf.DUMMYFUNCTION("""COMPUTED_VALUE"""),43800)</f>
        <v>43800</v>
      </c>
      <c r="I60" s="80">
        <f ca="1">IFERROR(__xludf.DUMMYFUNCTION("""COMPUTED_VALUE"""),2.12)</f>
        <v>2.12</v>
      </c>
      <c r="J60" s="79">
        <f ca="1">IFERROR(__xludf.DUMMYFUNCTION("""COMPUTED_VALUE"""),1752)</f>
        <v>1752</v>
      </c>
      <c r="K60" s="81">
        <f ca="1">IFERROR(__xludf.DUMMYFUNCTION("""COMPUTED_VALUE"""),0.04)</f>
        <v>0.04</v>
      </c>
      <c r="L60" s="81">
        <f ca="1">IFERROR(__xludf.DUMMYFUNCTION("""COMPUTED_VALUE"""),0.96)</f>
        <v>0.96</v>
      </c>
      <c r="M60" s="82">
        <f ca="1">IFERROR(__xludf.DUMMYFUNCTION("""COMPUTED_VALUE"""),42)</f>
        <v>42</v>
      </c>
      <c r="N60" s="79">
        <f ca="1">IFERROR(__xludf.DUMMYFUNCTION("""COMPUTED_VALUE"""),2898)</f>
        <v>2898</v>
      </c>
      <c r="O60" s="80">
        <f ca="1">IFERROR(__xludf.DUMMYFUNCTION("""COMPUTED_VALUE"""),1.47949414982078)</f>
        <v>1.4794941498207801</v>
      </c>
      <c r="P60" s="79">
        <f ca="1">IFERROR(__xludf.DUMMYFUNCTION("""COMPUTED_VALUE"""),42048)</f>
        <v>42048</v>
      </c>
      <c r="Q60" s="77">
        <f ca="1">IFERROR(__xludf.DUMMYFUNCTION("""COMPUTED_VALUE"""),97938.88)</f>
        <v>97938.880000000005</v>
      </c>
      <c r="R60" s="77">
        <f ca="1">IFERROR(__xludf.DUMMYFUNCTION("""COMPUTED_VALUE"""),2.32921613394216)</f>
        <v>2.3292161339421602</v>
      </c>
      <c r="S60" s="77">
        <f ca="1">IFERROR(__xludf.DUMMYFUNCTION("""COMPUTED_VALUE"""),13.0462060026636)</f>
        <v>13.046206002663601</v>
      </c>
      <c r="T60" s="84">
        <f ca="1">IFERROR(__xludf.DUMMYFUNCTION("""COMPUTED_VALUE"""),11.3296649067732)</f>
        <v>11.3296649067732</v>
      </c>
      <c r="U60" s="84">
        <f ca="1">IFERROR(__xludf.DUMMYFUNCTION("""COMPUTED_VALUE"""),1.7165410958904)</f>
        <v>1.7165410958903999</v>
      </c>
      <c r="V60" s="84">
        <f ca="1">IFERROR(__xludf.DUMMYFUNCTION("""COMPUTED_VALUE"""),5.60111438889233)</f>
        <v>5.6011143888923298</v>
      </c>
      <c r="W60" s="84">
        <f ca="1">IFERROR(__xludf.DUMMYFUNCTION("""COMPUTED_VALUE"""),4.86415354147402)</f>
        <v>4.8641535414740202</v>
      </c>
      <c r="X60" s="84">
        <f ca="1">IFERROR(__xludf.DUMMYFUNCTION("""COMPUTED_VALUE"""),0.736960847418308)</f>
        <v>0.73696084741830803</v>
      </c>
      <c r="Y60" s="84">
        <f ca="1">IFERROR(__xludf.DUMMYFUNCTION("""COMPUTED_VALUE"""),1.71654109589041)</f>
        <v>1.7165410958904099</v>
      </c>
      <c r="Z60" s="85">
        <f ca="1">IFERROR(__xludf.DUMMYFUNCTION("""COMPUTED_VALUE"""),359.847491962891)</f>
        <v>359.84749196289101</v>
      </c>
      <c r="AA60" s="86" t="str">
        <f ca="1">IFERROR(__xludf.DUMMYFUNCTION("""COMPUTED_VALUE"""),"VERY GOOD")</f>
        <v>VERY GOOD</v>
      </c>
    </row>
    <row r="61" spans="1:27" ht="14.25" x14ac:dyDescent="0.2">
      <c r="A61" s="73">
        <v>2025</v>
      </c>
      <c r="B61" s="74" t="s">
        <v>8</v>
      </c>
      <c r="C61" s="75" t="s">
        <v>92</v>
      </c>
      <c r="D61" s="77">
        <f ca="1">IFERROR(__xludf.DUMMYFUNCTION("""COMPUTED_VALUE"""),514557.26)</f>
        <v>514557.26</v>
      </c>
      <c r="E61" s="77">
        <f ca="1">IFERROR(__xludf.DUMMYFUNCTION("""COMPUTED_VALUE"""),458505.57)</f>
        <v>458505.57</v>
      </c>
      <c r="F61" s="77">
        <f t="shared" ca="1" si="0"/>
        <v>56051.69</v>
      </c>
      <c r="G61" s="79" t="str">
        <f ca="1">IFERROR(__xludf.DUMMYFUNCTION("""COMPUTED_VALUE"""),"Chop Cheong Bee Sdn Bhd")</f>
        <v>Chop Cheong Bee Sdn Bhd</v>
      </c>
      <c r="H61" s="79">
        <f ca="1">IFERROR(__xludf.DUMMYFUNCTION("""COMPUTED_VALUE"""),43800)</f>
        <v>43800</v>
      </c>
      <c r="I61" s="80">
        <f ca="1">IFERROR(__xludf.DUMMYFUNCTION("""COMPUTED_VALUE"""),2.12)</f>
        <v>2.12</v>
      </c>
      <c r="J61" s="79">
        <f ca="1">IFERROR(__xludf.DUMMYFUNCTION("""COMPUTED_VALUE"""),1580)</f>
        <v>1580</v>
      </c>
      <c r="K61" s="81">
        <f ca="1">IFERROR(__xludf.DUMMYFUNCTION("""COMPUTED_VALUE"""),0.0360730593607305)</f>
        <v>3.6073059360730499E-2</v>
      </c>
      <c r="L61" s="81">
        <f ca="1">IFERROR(__xludf.DUMMYFUNCTION("""COMPUTED_VALUE"""),0.963926940639269)</f>
        <v>0.96392694063926898</v>
      </c>
      <c r="M61" s="82">
        <f ca="1">IFERROR(__xludf.DUMMYFUNCTION("""COMPUTED_VALUE"""),39)</f>
        <v>39</v>
      </c>
      <c r="N61" s="79">
        <f ca="1">IFERROR(__xludf.DUMMYFUNCTION("""COMPUTED_VALUE"""),2684)</f>
        <v>2684</v>
      </c>
      <c r="O61" s="80">
        <f ca="1">IFERROR(__xludf.DUMMYFUNCTION("""COMPUTED_VALUE"""),1.44747754387437)</f>
        <v>1.4474775438743701</v>
      </c>
      <c r="P61" s="85">
        <f ca="1">IFERROR(__xludf.DUMMYFUNCTION("""COMPUTED_VALUE"""),42220)</f>
        <v>42220</v>
      </c>
      <c r="Q61" s="84">
        <f ca="1">IFERROR(__xludf.DUMMYFUNCTION("""COMPUTED_VALUE"""),92713.01)</f>
        <v>92713.01</v>
      </c>
      <c r="R61" s="84">
        <f ca="1">IFERROR(__xludf.DUMMYFUNCTION("""COMPUTED_VALUE"""),2.19595002368545)</f>
        <v>2.1959500236854499</v>
      </c>
      <c r="S61" s="77">
        <f ca="1">IFERROR(__xludf.DUMMYFUNCTION("""COMPUTED_VALUE"""),12.1875239223117)</f>
        <v>12.1875239223117</v>
      </c>
      <c r="T61" s="84">
        <f ca="1">IFERROR(__xludf.DUMMYFUNCTION("""COMPUTED_VALUE"""),10.8599140217906)</f>
        <v>10.859914021790599</v>
      </c>
      <c r="U61" s="84">
        <f ca="1">IFERROR(__xludf.DUMMYFUNCTION("""COMPUTED_VALUE"""),1.32760990052108)</f>
        <v>1.32760990052108</v>
      </c>
      <c r="V61" s="84">
        <f ca="1">IFERROR(__xludf.DUMMYFUNCTION("""COMPUTED_VALUE"""),5.55000058783551)</f>
        <v>5.5500005878355099</v>
      </c>
      <c r="W61" s="84">
        <f ca="1">IFERROR(__xludf.DUMMYFUNCTION("""COMPUTED_VALUE"""),4.94542858655975)</f>
        <v>4.9454285865597498</v>
      </c>
      <c r="X61" s="84">
        <f ca="1">IFERROR(__xludf.DUMMYFUNCTION("""COMPUTED_VALUE"""),0.604572001275764)</f>
        <v>0.60457200127576405</v>
      </c>
      <c r="Y61" s="84">
        <f ca="1">IFERROR(__xludf.DUMMYFUNCTION("""COMPUTED_VALUE"""),1.32760990052108)</f>
        <v>1.32760990052108</v>
      </c>
      <c r="Z61" s="85">
        <f ca="1">IFERROR(__xludf.DUMMYFUNCTION("""COMPUTED_VALUE"""),374.964479358881)</f>
        <v>374.96447935888102</v>
      </c>
      <c r="AA61" s="86" t="str">
        <f ca="1">IFERROR(__xludf.DUMMYFUNCTION("""COMPUTED_VALUE"""),"VERY GOOD")</f>
        <v>VERY GOOD</v>
      </c>
    </row>
    <row r="62" spans="1:27" ht="14.25" x14ac:dyDescent="0.2">
      <c r="A62" s="73">
        <v>2025</v>
      </c>
      <c r="B62" s="74" t="s">
        <v>8</v>
      </c>
      <c r="C62" s="75" t="s">
        <v>93</v>
      </c>
      <c r="D62" s="77">
        <f ca="1">IFERROR(__xludf.DUMMYFUNCTION("""COMPUTED_VALUE"""),479179.33)</f>
        <v>479179.33</v>
      </c>
      <c r="E62" s="77">
        <f ca="1">IFERROR(__xludf.DUMMYFUNCTION("""COMPUTED_VALUE"""),452580.55)</f>
        <v>452580.55</v>
      </c>
      <c r="F62" s="77">
        <f t="shared" ca="1" si="0"/>
        <v>26598.780000000028</v>
      </c>
      <c r="G62" s="79" t="str">
        <f ca="1">IFERROR(__xludf.DUMMYFUNCTION("""COMPUTED_VALUE"""),"Chop Cheong Bee Sdn Bhd")</f>
        <v>Chop Cheong Bee Sdn Bhd</v>
      </c>
      <c r="H62" s="79">
        <f ca="1">IFERROR(__xludf.DUMMYFUNCTION("""COMPUTED_VALUE"""),43783)</f>
        <v>43783</v>
      </c>
      <c r="I62" s="80">
        <f ca="1">IFERROR(__xludf.DUMMYFUNCTION("""COMPUTED_VALUE"""),2.12)</f>
        <v>2.12</v>
      </c>
      <c r="J62" s="79">
        <f ca="1">IFERROR(__xludf.DUMMYFUNCTION("""COMPUTED_VALUE"""),1965)</f>
        <v>1965</v>
      </c>
      <c r="K62" s="81">
        <f ca="1">IFERROR(__xludf.DUMMYFUNCTION("""COMPUTED_VALUE"""),0.044880433044789)</f>
        <v>4.4880433044789003E-2</v>
      </c>
      <c r="L62" s="81">
        <f ca="1">IFERROR(__xludf.DUMMYFUNCTION("""COMPUTED_VALUE"""),0.95511956695521)</f>
        <v>0.95511956695521005</v>
      </c>
      <c r="M62" s="82">
        <f ca="1">IFERROR(__xludf.DUMMYFUNCTION("""COMPUTED_VALUE"""),40)</f>
        <v>40</v>
      </c>
      <c r="N62" s="79">
        <f ca="1">IFERROR(__xludf.DUMMYFUNCTION("""COMPUTED_VALUE"""),2906)</f>
        <v>2906</v>
      </c>
      <c r="O62" s="80">
        <f ca="1">IFERROR(__xludf.DUMMYFUNCTION("""COMPUTED_VALUE"""),1.60745202812211)</f>
        <v>1.6074520281221101</v>
      </c>
      <c r="P62" s="85">
        <f ca="1">IFERROR(__xludf.DUMMYFUNCTION("""COMPUTED_VALUE"""),41818)</f>
        <v>41818</v>
      </c>
      <c r="Q62" s="84">
        <f ca="1">IFERROR(__xludf.DUMMYFUNCTION("""COMPUTED_VALUE"""),90391.5)</f>
        <v>90391.5</v>
      </c>
      <c r="R62" s="84">
        <f ca="1">IFERROR(__xludf.DUMMYFUNCTION("""COMPUTED_VALUE"""),2.16154526758812)</f>
        <v>2.1615452675881199</v>
      </c>
      <c r="S62" s="77">
        <f ca="1">IFERROR(__xludf.DUMMYFUNCTION("""COMPUTED_VALUE"""),11.4586859725477)</f>
        <v>11.4586859725477</v>
      </c>
      <c r="T62" s="84">
        <f ca="1">IFERROR(__xludf.DUMMYFUNCTION("""COMPUTED_VALUE"""),10.8226254244583)</f>
        <v>10.8226254244583</v>
      </c>
      <c r="U62" s="84">
        <f ca="1">IFERROR(__xludf.DUMMYFUNCTION("""COMPUTED_VALUE"""),0.636060548089339)</f>
        <v>0.63606054808933898</v>
      </c>
      <c r="V62" s="84">
        <f ca="1">IFERROR(__xludf.DUMMYFUNCTION("""COMPUTED_VALUE"""),5.30115475459528)</f>
        <v>5.30115475459528</v>
      </c>
      <c r="W62" s="84">
        <f ca="1">IFERROR(__xludf.DUMMYFUNCTION("""COMPUTED_VALUE"""),5.00689279412334)</f>
        <v>5.0068927941233401</v>
      </c>
      <c r="X62" s="84">
        <f ca="1">IFERROR(__xludf.DUMMYFUNCTION("""COMPUTED_VALUE"""),0.294261960471947)</f>
        <v>0.29426196047194703</v>
      </c>
      <c r="Y62" s="84">
        <f ca="1">IFERROR(__xludf.DUMMYFUNCTION("""COMPUTED_VALUE"""),0.63606054808934)</f>
        <v>0.63606054808933998</v>
      </c>
      <c r="Z62" s="85">
        <f ca="1">IFERROR(__xludf.DUMMYFUNCTION("""COMPUTED_VALUE"""),321.087992645217)</f>
        <v>321.08799264521701</v>
      </c>
      <c r="AA62" s="86" t="str">
        <f ca="1">IFERROR(__xludf.DUMMYFUNCTION("""COMPUTED_VALUE"""),"JUST AVERAGE")</f>
        <v>JUST AVERAGE</v>
      </c>
    </row>
    <row r="63" spans="1:27" ht="14.25" x14ac:dyDescent="0.2">
      <c r="A63" s="73">
        <v>2025</v>
      </c>
      <c r="B63" s="74" t="s">
        <v>8</v>
      </c>
      <c r="C63" s="75" t="s">
        <v>94</v>
      </c>
      <c r="D63" s="77">
        <f ca="1">IFERROR(__xludf.DUMMYFUNCTION("""COMPUTED_VALUE"""),452247.33)</f>
        <v>452247.33</v>
      </c>
      <c r="E63" s="77">
        <f ca="1">IFERROR(__xludf.DUMMYFUNCTION("""COMPUTED_VALUE"""),472779.299999999)</f>
        <v>472779.299999999</v>
      </c>
      <c r="F63" s="77">
        <f t="shared" ca="1" si="0"/>
        <v>-20531.969999998983</v>
      </c>
      <c r="G63" s="79" t="s">
        <v>97</v>
      </c>
      <c r="H63" s="79">
        <v>43800</v>
      </c>
      <c r="I63" s="93">
        <v>2.12</v>
      </c>
      <c r="J63" s="79">
        <v>2710</v>
      </c>
      <c r="K63" s="81">
        <v>6.1899999999999997E-2</v>
      </c>
      <c r="L63" s="81">
        <v>0.93810000000000004</v>
      </c>
      <c r="M63" s="93">
        <v>42</v>
      </c>
      <c r="N63" s="79">
        <v>2843</v>
      </c>
      <c r="O63" s="80">
        <v>1.69</v>
      </c>
      <c r="P63" s="79">
        <v>41090</v>
      </c>
      <c r="Q63" s="77">
        <v>84263.48</v>
      </c>
      <c r="R63" s="93">
        <v>2.0499999999999998</v>
      </c>
      <c r="S63" s="93">
        <v>11.01</v>
      </c>
      <c r="T63" s="93">
        <v>11.51</v>
      </c>
      <c r="U63" s="93">
        <v>-0.5</v>
      </c>
      <c r="V63" s="93">
        <v>5.37</v>
      </c>
      <c r="W63" s="93">
        <v>5.61</v>
      </c>
      <c r="X63" s="93">
        <v>-0.24</v>
      </c>
      <c r="Y63" s="93">
        <v>-0.5</v>
      </c>
      <c r="Z63" s="93">
        <v>272</v>
      </c>
      <c r="AA63" s="93" t="s">
        <v>96</v>
      </c>
    </row>
    <row r="64" spans="1:27" ht="14.25" x14ac:dyDescent="0.2">
      <c r="A64" s="73">
        <v>2025</v>
      </c>
      <c r="B64" s="74" t="s">
        <v>9</v>
      </c>
      <c r="C64" s="75" t="s">
        <v>90</v>
      </c>
      <c r="D64" s="77">
        <f ca="1">IFERROR(__xludf.DUMMYFUNCTION("TRANSPOSE(IMPORTRANGE(""1Y1LY7dyNGLp0NieLSn-6awoDagvXjF5SwgLKBcwcayI"", ""2025!C12:G12""))"),181735.53)</f>
        <v>181735.53</v>
      </c>
      <c r="E64" s="77">
        <f ca="1">IFERROR(__xludf.DUMMYFUNCTION("TRANSPOSE(IMPORTRANGE(""1Y1LY7dyNGLp0NieLSn-6awoDagvXjF5SwgLKBcwcayI"", ""2025!C37:G37""))"),169998.333333333)</f>
        <v>169998.33333333299</v>
      </c>
      <c r="F64" s="77">
        <f t="shared" ca="1" si="0"/>
        <v>11737.196666667005</v>
      </c>
      <c r="G64" s="93" t="str">
        <f ca="1">IFERROR(__xludf.DUMMYFUNCTION("TRANSPOSE(IMPORTRANGE(""1Y1LY7dyNGLp0NieLSn-6awoDagvXjF5SwgLKBcwcayI"", ""2025!C45:F65""))"),"Chop Cheong Bee Sdn Bhd")</f>
        <v>Chop Cheong Bee Sdn Bhd</v>
      </c>
      <c r="H64" s="79">
        <f ca="1">IFERROR(__xludf.DUMMYFUNCTION("""COMPUTED_VALUE"""),15000)</f>
        <v>15000</v>
      </c>
      <c r="I64" s="80">
        <f ca="1">IFERROR(__xludf.DUMMYFUNCTION("""COMPUTED_VALUE"""),2.13)</f>
        <v>2.13</v>
      </c>
      <c r="J64" s="79">
        <f ca="1">IFERROR(__xludf.DUMMYFUNCTION("""COMPUTED_VALUE"""),568)</f>
        <v>568</v>
      </c>
      <c r="K64" s="81">
        <f ca="1">IFERROR(__xludf.DUMMYFUNCTION("""COMPUTED_VALUE"""),0.0378666666666666)</f>
        <v>3.7866666666666597E-2</v>
      </c>
      <c r="L64" s="81">
        <f ca="1">IFERROR(__xludf.DUMMYFUNCTION("""COMPUTED_VALUE"""),0.962133333333333)</f>
        <v>0.96213333333333295</v>
      </c>
      <c r="M64" s="82">
        <f ca="1">IFERROR(__xludf.DUMMYFUNCTION("""COMPUTED_VALUE"""),37)</f>
        <v>37</v>
      </c>
      <c r="N64" s="93">
        <f ca="1">IFERROR(__xludf.DUMMYFUNCTION("""COMPUTED_VALUE"""),947)</f>
        <v>947</v>
      </c>
      <c r="O64" s="80">
        <f ca="1">IFERROR(__xludf.DUMMYFUNCTION("""COMPUTED_VALUE"""),1.44601611109312)</f>
        <v>1.44601611109312</v>
      </c>
      <c r="P64" s="79">
        <f ca="1">IFERROR(__xludf.DUMMYFUNCTION("""COMPUTED_VALUE"""),14432)</f>
        <v>14432</v>
      </c>
      <c r="Q64" s="77">
        <f ca="1">IFERROR(__xludf.DUMMYFUNCTION("""COMPUTED_VALUE"""),32745.14)</f>
        <v>32745.14</v>
      </c>
      <c r="R64" s="77">
        <f ca="1">IFERROR(__xludf.DUMMYFUNCTION("""COMPUTED_VALUE"""),2.2689259977827)</f>
        <v>2.2689259977826999</v>
      </c>
      <c r="S64" s="77">
        <f ca="1">IFERROR(__xludf.DUMMYFUNCTION("""COMPUTED_VALUE"""),12.5925394955654)</f>
        <v>12.592539495565401</v>
      </c>
      <c r="T64" s="94">
        <f ca="1">IFERROR(__xludf.DUMMYFUNCTION("""COMPUTED_VALUE"""),11.7792636733185)</f>
        <v>11.7792636733185</v>
      </c>
      <c r="U64" s="94">
        <f ca="1">IFERROR(__xludf.DUMMYFUNCTION("""COMPUTED_VALUE"""),0.813275822246856)</f>
        <v>0.81327582224685602</v>
      </c>
      <c r="V64" s="94">
        <f ca="1">IFERROR(__xludf.DUMMYFUNCTION("""COMPUTED_VALUE"""),5.55000009161664)</f>
        <v>5.5500000916166403</v>
      </c>
      <c r="W64" s="95">
        <f ca="1">IFERROR(__xludf.DUMMYFUNCTION("""COMPUTED_VALUE"""),5.19155921560675)</f>
        <v>5.19155921560675</v>
      </c>
      <c r="X64" s="95">
        <f ca="1">IFERROR(__xludf.DUMMYFUNCTION("""COMPUTED_VALUE"""),0.358440876009893)</f>
        <v>0.35844087600989299</v>
      </c>
      <c r="Y64" s="95">
        <f ca="1">IFERROR(__xludf.DUMMYFUNCTION("""COMPUTED_VALUE"""),0.813275822246856)</f>
        <v>0.81327582224685602</v>
      </c>
      <c r="Z64" s="85">
        <f ca="1">IFERROR(__xludf.DUMMYFUNCTION("""COMPUTED_VALUE"""),408.019328412949)</f>
        <v>408.01932841294899</v>
      </c>
      <c r="AA64" s="86" t="str">
        <f ca="1">IFERROR(__xludf.DUMMYFUNCTION("""COMPUTED_VALUE"""),"JUST AVERAGE")</f>
        <v>JUST AVERAGE</v>
      </c>
    </row>
    <row r="65" spans="1:27" ht="14.25" x14ac:dyDescent="0.2">
      <c r="A65" s="73">
        <v>2025</v>
      </c>
      <c r="B65" s="74" t="s">
        <v>9</v>
      </c>
      <c r="C65" s="75" t="s">
        <v>91</v>
      </c>
      <c r="D65" s="77">
        <f ca="1">IFERROR(__xludf.DUMMYFUNCTION("""COMPUTED_VALUE"""),179977.65)</f>
        <v>179977.65</v>
      </c>
      <c r="E65" s="77">
        <f ca="1">IFERROR(__xludf.DUMMYFUNCTION("""COMPUTED_VALUE"""),165518.683333333)</f>
        <v>165518.683333333</v>
      </c>
      <c r="F65" s="77">
        <f t="shared" ca="1" si="0"/>
        <v>14458.966666666995</v>
      </c>
      <c r="G65" s="93" t="str">
        <f ca="1">IFERROR(__xludf.DUMMYFUNCTION("""COMPUTED_VALUE"""),"Chop Cheong Bee Sdn Bhd")</f>
        <v>Chop Cheong Bee Sdn Bhd</v>
      </c>
      <c r="H65" s="79">
        <f ca="1">IFERROR(__xludf.DUMMYFUNCTION("""COMPUTED_VALUE"""),15000)</f>
        <v>15000</v>
      </c>
      <c r="I65" s="80">
        <f ca="1">IFERROR(__xludf.DUMMYFUNCTION("""COMPUTED_VALUE"""),2.13)</f>
        <v>2.13</v>
      </c>
      <c r="J65" s="79">
        <f ca="1">IFERROR(__xludf.DUMMYFUNCTION("""COMPUTED_VALUE"""),812)</f>
        <v>812</v>
      </c>
      <c r="K65" s="81">
        <f ca="1">IFERROR(__xludf.DUMMYFUNCTION("""COMPUTED_VALUE"""),0.0541333333333333)</f>
        <v>5.4133333333333297E-2</v>
      </c>
      <c r="L65" s="81">
        <f ca="1">IFERROR(__xludf.DUMMYFUNCTION("""COMPUTED_VALUE"""),0.945866666666666)</f>
        <v>0.94586666666666597</v>
      </c>
      <c r="M65" s="82">
        <f ca="1">IFERROR(__xludf.DUMMYFUNCTION("""COMPUTED_VALUE"""),37)</f>
        <v>37</v>
      </c>
      <c r="N65" s="93">
        <f ca="1">IFERROR(__xludf.DUMMYFUNCTION("""COMPUTED_VALUE"""),914)</f>
        <v>914</v>
      </c>
      <c r="O65" s="80">
        <f ca="1">IFERROR(__xludf.DUMMYFUNCTION("""COMPUTED_VALUE"""),1.40925855114652)</f>
        <v>1.4092585511465201</v>
      </c>
      <c r="P65" s="79">
        <f ca="1">IFERROR(__xludf.DUMMYFUNCTION("""COMPUTED_VALUE"""),14188)</f>
        <v>14188</v>
      </c>
      <c r="Q65" s="77">
        <f ca="1">IFERROR(__xludf.DUMMYFUNCTION("""COMPUTED_VALUE"""),32428.4)</f>
        <v>32428.400000000001</v>
      </c>
      <c r="R65" s="77">
        <f ca="1">IFERROR(__xludf.DUMMYFUNCTION("""COMPUTED_VALUE"""),2.28562165210036)</f>
        <v>2.2856216521003598</v>
      </c>
      <c r="S65" s="77">
        <f ca="1">IFERROR(__xludf.DUMMYFUNCTION("""COMPUTED_VALUE"""),12.6852022836199)</f>
        <v>12.685202283619899</v>
      </c>
      <c r="T65" s="94">
        <f ca="1">IFERROR(__xludf.DUMMYFUNCTION("""COMPUTED_VALUE"""),11.6661039845879)</f>
        <v>11.666103984587901</v>
      </c>
      <c r="U65" s="94">
        <f ca="1">IFERROR(__xludf.DUMMYFUNCTION("""COMPUTED_VALUE"""),1.01909829903204)</f>
        <v>1.0190982990320401</v>
      </c>
      <c r="V65" s="94">
        <f ca="1">IFERROR(__xludf.DUMMYFUNCTION("""COMPUTED_VALUE"""),5.55000092511502)</f>
        <v>5.55000092511502</v>
      </c>
      <c r="W65" s="95">
        <f ca="1">IFERROR(__xludf.DUMMYFUNCTION("""COMPUTED_VALUE"""),5.1041273492782)</f>
        <v>5.1041273492782002</v>
      </c>
      <c r="X65" s="95">
        <f ca="1">IFERROR(__xludf.DUMMYFUNCTION("""COMPUTED_VALUE"""),0.445873575836818)</f>
        <v>0.44587357583681803</v>
      </c>
      <c r="Y65" s="95">
        <f ca="1">IFERROR(__xludf.DUMMYFUNCTION("""COMPUTED_VALUE"""),1.01909829903204)</f>
        <v>1.0190982990320401</v>
      </c>
      <c r="Z65" s="85">
        <f ca="1">IFERROR(__xludf.DUMMYFUNCTION("""COMPUTED_VALUE"""),414.611992256589)</f>
        <v>414.61199225658902</v>
      </c>
      <c r="AA65" s="86" t="str">
        <f ca="1">IFERROR(__xludf.DUMMYFUNCTION("""COMPUTED_VALUE"""),"VERY GOOD")</f>
        <v>VERY GOOD</v>
      </c>
    </row>
    <row r="66" spans="1:27" ht="14.25" x14ac:dyDescent="0.2">
      <c r="A66" s="73">
        <v>2025</v>
      </c>
      <c r="B66" s="74" t="s">
        <v>9</v>
      </c>
      <c r="C66" s="75" t="s">
        <v>92</v>
      </c>
      <c r="D66" s="84">
        <f ca="1">IFERROR(__xludf.DUMMYFUNCTION("""COMPUTED_VALUE"""),175645.31)</f>
        <v>175645.31</v>
      </c>
      <c r="E66" s="84">
        <f ca="1">IFERROR(__xludf.DUMMYFUNCTION("""COMPUTED_VALUE"""),163074.683333333)</f>
        <v>163074.683333333</v>
      </c>
      <c r="F66" s="77">
        <f t="shared" ca="1" si="0"/>
        <v>12570.626666666998</v>
      </c>
      <c r="G66" s="86" t="str">
        <f ca="1">IFERROR(__xludf.DUMMYFUNCTION("""COMPUTED_VALUE"""),"Chop Cheong Bee Sdn Bhd")</f>
        <v>Chop Cheong Bee Sdn Bhd</v>
      </c>
      <c r="H66" s="85">
        <f ca="1">IFERROR(__xludf.DUMMYFUNCTION("""COMPUTED_VALUE"""),15000)</f>
        <v>15000</v>
      </c>
      <c r="I66" s="84">
        <f ca="1">IFERROR(__xludf.DUMMYFUNCTION("""COMPUTED_VALUE"""),2.13)</f>
        <v>2.13</v>
      </c>
      <c r="J66" s="85">
        <f ca="1">IFERROR(__xludf.DUMMYFUNCTION("""COMPUTED_VALUE"""),667)</f>
        <v>667</v>
      </c>
      <c r="K66" s="81">
        <f ca="1">IFERROR(__xludf.DUMMYFUNCTION("""COMPUTED_VALUE"""),0.0444666666666666)</f>
        <v>4.4466666666666599E-2</v>
      </c>
      <c r="L66" s="96">
        <f ca="1">IFERROR(__xludf.DUMMYFUNCTION("""COMPUTED_VALUE"""),0.955533333333333)</f>
        <v>0.95553333333333301</v>
      </c>
      <c r="M66" s="97">
        <f ca="1">IFERROR(__xludf.DUMMYFUNCTION("""COMPUTED_VALUE"""),37)</f>
        <v>37</v>
      </c>
      <c r="N66" s="86">
        <f ca="1">IFERROR(__xludf.DUMMYFUNCTION("""COMPUTED_VALUE"""),901)</f>
        <v>901</v>
      </c>
      <c r="O66" s="98">
        <f ca="1">IFERROR(__xludf.DUMMYFUNCTION("""COMPUTED_VALUE"""),1.42347967315263)</f>
        <v>1.42347967315263</v>
      </c>
      <c r="P66" s="85">
        <f ca="1">IFERROR(__xludf.DUMMYFUNCTION("""COMPUTED_VALUE"""),14333)</f>
        <v>14333</v>
      </c>
      <c r="Q66" s="84">
        <f ca="1">IFERROR(__xludf.DUMMYFUNCTION("""COMPUTED_VALUE"""),31647.8)</f>
        <v>31647.8</v>
      </c>
      <c r="R66" s="84">
        <f ca="1">IFERROR(__xludf.DUMMYFUNCTION("""COMPUTED_VALUE"""),2.20803739621851)</f>
        <v>2.20803739621851</v>
      </c>
      <c r="S66" s="77">
        <f ca="1">IFERROR(__xludf.DUMMYFUNCTION("""COMPUTED_VALUE"""),12.254608944394)</f>
        <v>12.254608944394001</v>
      </c>
      <c r="T66" s="94">
        <f ca="1">IFERROR(__xludf.DUMMYFUNCTION("""COMPUTED_VALUE"""),11.3775680829786)</f>
        <v>11.3775680829786</v>
      </c>
      <c r="U66" s="94">
        <f ca="1">IFERROR(__xludf.DUMMYFUNCTION("""COMPUTED_VALUE"""),0.87704086141538)</f>
        <v>0.87704086141537996</v>
      </c>
      <c r="V66" s="94">
        <f ca="1">IFERROR(__xludf.DUMMYFUNCTION("""COMPUTED_VALUE"""),5.55000063195546)</f>
        <v>5.5500006319554602</v>
      </c>
      <c r="W66" s="95">
        <f ca="1">IFERROR(__xludf.DUMMYFUNCTION("""COMPUTED_VALUE"""),5.15279682421316)</f>
        <v>5.1527968242131603</v>
      </c>
      <c r="X66" s="95">
        <f ca="1">IFERROR(__xludf.DUMMYFUNCTION("""COMPUTED_VALUE"""),0.397203807742297)</f>
        <v>0.39720380774229702</v>
      </c>
      <c r="Y66" s="95">
        <f ca="1">IFERROR(__xludf.DUMMYFUNCTION("""COMPUTED_VALUE"""),0.87704086141538)</f>
        <v>0.87704086141537996</v>
      </c>
      <c r="Z66" s="85">
        <f ca="1">IFERROR(__xludf.DUMMYFUNCTION("""COMPUTED_VALUE"""),400.589233120356)</f>
        <v>400.58923312035603</v>
      </c>
      <c r="AA66" s="86" t="str">
        <f ca="1">IFERROR(__xludf.DUMMYFUNCTION("""COMPUTED_VALUE"""),"JUST AVERAGE")</f>
        <v>JUST AVERAGE</v>
      </c>
    </row>
    <row r="67" spans="1:27" ht="14.25" x14ac:dyDescent="0.2">
      <c r="A67" s="73">
        <v>2025</v>
      </c>
      <c r="B67" s="74" t="s">
        <v>9</v>
      </c>
      <c r="C67" s="75" t="s">
        <v>93</v>
      </c>
      <c r="D67" s="84">
        <f ca="1">IFERROR(__xludf.DUMMYFUNCTION("""COMPUTED_VALUE"""),176469.11)</f>
        <v>176469.11</v>
      </c>
      <c r="E67" s="84">
        <f ca="1">IFERROR(__xludf.DUMMYFUNCTION("""COMPUTED_VALUE"""),169686.283333333)</f>
        <v>169686.28333333301</v>
      </c>
      <c r="F67" s="77">
        <f t="shared" ca="1" si="0"/>
        <v>6782.8266666669806</v>
      </c>
      <c r="G67" s="86" t="str">
        <f ca="1">IFERROR(__xludf.DUMMYFUNCTION("""COMPUTED_VALUE"""),"Chop Cheong Bee Sdn Bhd")</f>
        <v>Chop Cheong Bee Sdn Bhd</v>
      </c>
      <c r="H67" s="85">
        <f ca="1">IFERROR(__xludf.DUMMYFUNCTION("""COMPUTED_VALUE"""),15000)</f>
        <v>15000</v>
      </c>
      <c r="I67" s="84">
        <f ca="1">IFERROR(__xludf.DUMMYFUNCTION("""COMPUTED_VALUE"""),2.13)</f>
        <v>2.13</v>
      </c>
      <c r="J67" s="85">
        <f ca="1">IFERROR(__xludf.DUMMYFUNCTION("""COMPUTED_VALUE"""),730)</f>
        <v>730</v>
      </c>
      <c r="K67" s="81">
        <f ca="1">IFERROR(__xludf.DUMMYFUNCTION("""COMPUTED_VALUE"""),0.0486666666666666)</f>
        <v>4.8666666666666601E-2</v>
      </c>
      <c r="L67" s="96">
        <f ca="1">IFERROR(__xludf.DUMMYFUNCTION("""COMPUTED_VALUE"""),0.951333333333333)</f>
        <v>0.95133333333333303</v>
      </c>
      <c r="M67" s="97">
        <f ca="1">IFERROR(__xludf.DUMMYFUNCTION("""COMPUTED_VALUE"""),37)</f>
        <v>37</v>
      </c>
      <c r="N67" s="86">
        <f ca="1">IFERROR(__xludf.DUMMYFUNCTION("""COMPUTED_VALUE"""),939)</f>
        <v>939</v>
      </c>
      <c r="O67" s="98">
        <f ca="1">IFERROR(__xludf.DUMMYFUNCTION("""COMPUTED_VALUE"""),1.3967743586143)</f>
        <v>1.3967743586143</v>
      </c>
      <c r="P67" s="85">
        <f ca="1">IFERROR(__xludf.DUMMYFUNCTION("""COMPUTED_VALUE"""),14270)</f>
        <v>14270</v>
      </c>
      <c r="Q67" s="84">
        <f ca="1">IFERROR(__xludf.DUMMYFUNCTION("""COMPUTED_VALUE"""),33613.16)</f>
        <v>33613.160000000003</v>
      </c>
      <c r="R67" s="84">
        <f ca="1">IFERROR(__xludf.DUMMYFUNCTION("""COMPUTED_VALUE"""),2.35551226348983)</f>
        <v>2.35551226348983</v>
      </c>
      <c r="S67" s="77">
        <f ca="1">IFERROR(__xludf.DUMMYFUNCTION("""COMPUTED_VALUE"""),12.3664407848633)</f>
        <v>12.3664407848633</v>
      </c>
      <c r="T67" s="95">
        <f ca="1">IFERROR(__xludf.DUMMYFUNCTION("""COMPUTED_VALUE"""),11.8911200654052)</f>
        <v>11.8911200654052</v>
      </c>
      <c r="U67" s="95">
        <f ca="1">IFERROR(__xludf.DUMMYFUNCTION("""COMPUTED_VALUE"""),0.475320719458068)</f>
        <v>0.47532071945806798</v>
      </c>
      <c r="V67" s="95">
        <f ca="1">IFERROR(__xludf.DUMMYFUNCTION("""COMPUTED_VALUE"""),5.25000059500505)</f>
        <v>5.2500005950050497</v>
      </c>
      <c r="W67" s="95">
        <f ca="1">IFERROR(__xludf.DUMMYFUNCTION("""COMPUTED_VALUE"""),5.04820978846777)</f>
        <v>5.0482097884677701</v>
      </c>
      <c r="X67" s="95">
        <f ca="1">IFERROR(__xludf.DUMMYFUNCTION("""COMPUTED_VALUE"""),0.201790806537279)</f>
        <v>0.20179080653727899</v>
      </c>
      <c r="Y67" s="95">
        <f ca="1">IFERROR(__xludf.DUMMYFUNCTION("""COMPUTED_VALUE"""),0.475320719458068)</f>
        <v>0.47532071945806798</v>
      </c>
      <c r="Z67" s="99">
        <f ca="1">IFERROR(__xludf.DUMMYFUNCTION("""COMPUTED_VALUE"""),433.600830934039)</f>
        <v>433.60083093403898</v>
      </c>
      <c r="AA67" s="86" t="str">
        <f ca="1">IFERROR(__xludf.DUMMYFUNCTION("""COMPUTED_VALUE"""),"VERY BAD")</f>
        <v>VERY BAD</v>
      </c>
    </row>
    <row r="68" spans="1:27" ht="14.25" x14ac:dyDescent="0.2">
      <c r="A68" s="73">
        <v>2025</v>
      </c>
      <c r="B68" s="74" t="s">
        <v>9</v>
      </c>
      <c r="C68" s="75" t="s">
        <v>94</v>
      </c>
      <c r="D68" s="84">
        <f ca="1">IFERROR(__xludf.DUMMYFUNCTION("""COMPUTED_VALUE"""),179737.98)</f>
        <v>179737.98</v>
      </c>
      <c r="E68" s="84">
        <f ca="1">IFERROR(__xludf.DUMMYFUNCTION("""COMPUTED_VALUE"""),162054.683333333)</f>
        <v>162054.683333333</v>
      </c>
      <c r="F68" s="77">
        <f t="shared" ca="1" si="0"/>
        <v>17683.296666667011</v>
      </c>
      <c r="G68" s="93" t="s">
        <v>97</v>
      </c>
      <c r="H68" s="79">
        <v>15000</v>
      </c>
      <c r="I68" s="93">
        <v>2.13</v>
      </c>
      <c r="J68" s="79">
        <v>707</v>
      </c>
      <c r="K68" s="81">
        <v>4.7100000000000003E-2</v>
      </c>
      <c r="L68" s="81">
        <v>0.95289999999999997</v>
      </c>
      <c r="M68" s="93">
        <v>37</v>
      </c>
      <c r="N68" s="93">
        <v>951</v>
      </c>
      <c r="O68" s="80">
        <v>1.39</v>
      </c>
      <c r="P68" s="79">
        <v>14293</v>
      </c>
      <c r="Q68" s="77">
        <v>34235.800000000003</v>
      </c>
      <c r="R68" s="93">
        <v>2.4</v>
      </c>
      <c r="S68" s="93">
        <v>12.58</v>
      </c>
      <c r="T68" s="93">
        <v>11.34</v>
      </c>
      <c r="U68" s="93">
        <v>1.24</v>
      </c>
      <c r="V68" s="93">
        <v>5.25</v>
      </c>
      <c r="W68" s="93">
        <v>4.7300000000000004</v>
      </c>
      <c r="X68" s="93">
        <v>0.52</v>
      </c>
      <c r="Y68" s="93">
        <v>1.24</v>
      </c>
      <c r="Z68" s="93">
        <v>444</v>
      </c>
      <c r="AA68" s="93" t="s">
        <v>98</v>
      </c>
    </row>
    <row r="69" spans="1:27" ht="14.25" x14ac:dyDescent="0.2">
      <c r="A69" s="100">
        <v>2026</v>
      </c>
      <c r="B69" s="101" t="s">
        <v>5</v>
      </c>
      <c r="C69" s="102" t="s">
        <v>99</v>
      </c>
      <c r="D69" s="103">
        <f ca="1">IFERROR(__xludf.DUMMYFUNCTION("TRANSPOSE(IMPORTRANGE(""1o4Ac6NI0SfLibsumFt9f9lHwJFVrF2ykccRsQvuxGAI"", ""2026!C12:E12""))"),225588.27)</f>
        <v>225588.27</v>
      </c>
      <c r="E69" s="103">
        <f ca="1">IFERROR(__xludf.DUMMYFUNCTION("TRANSPOSE(IMPORTRANGE(""1o4Ac6NI0SfLibsumFt9f9lHwJFVrF2ykccRsQvuxGAI"", ""2026!C37:E37""))"),224165.79)</f>
        <v>224165.79</v>
      </c>
      <c r="F69" s="104">
        <f t="shared" ca="1" si="0"/>
        <v>1422.4799999999814</v>
      </c>
      <c r="G69" s="100" t="s">
        <v>100</v>
      </c>
      <c r="H69" s="105">
        <v>17000</v>
      </c>
      <c r="I69" s="104">
        <v>2.38</v>
      </c>
      <c r="J69" s="105">
        <v>1193</v>
      </c>
      <c r="K69" s="106">
        <v>7.0199999999999999E-2</v>
      </c>
      <c r="L69" s="106">
        <v>0.92979999999999996</v>
      </c>
      <c r="M69" s="100">
        <v>32</v>
      </c>
      <c r="N69" s="105">
        <v>1189</v>
      </c>
      <c r="O69" s="141">
        <v>1.55</v>
      </c>
      <c r="P69" s="105">
        <v>15807</v>
      </c>
      <c r="Q69" s="104">
        <v>38235.300000000003</v>
      </c>
      <c r="R69" s="100">
        <v>2.42</v>
      </c>
      <c r="S69" s="100">
        <v>14.27</v>
      </c>
      <c r="T69" s="100">
        <v>14.18</v>
      </c>
      <c r="U69" s="100">
        <v>0.09</v>
      </c>
      <c r="V69" s="100">
        <v>5.9</v>
      </c>
      <c r="W69" s="100">
        <v>5.86</v>
      </c>
      <c r="X69" s="100">
        <v>0.04</v>
      </c>
      <c r="Y69" s="105">
        <v>0.09</v>
      </c>
      <c r="Z69" s="100">
        <v>452</v>
      </c>
      <c r="AA69" s="100" t="s">
        <v>96</v>
      </c>
    </row>
    <row r="70" spans="1:27" ht="14.25" x14ac:dyDescent="0.2">
      <c r="A70" s="100">
        <v>2026</v>
      </c>
      <c r="B70" s="101" t="s">
        <v>5</v>
      </c>
      <c r="C70" s="102" t="s">
        <v>101</v>
      </c>
      <c r="D70" s="103">
        <f ca="1">IFERROR(__xludf.DUMMYFUNCTION("""COMPUTED_VALUE"""),199653.25)</f>
        <v>199653.25</v>
      </c>
      <c r="E70" s="103">
        <f ca="1">IFERROR(__xludf.DUMMYFUNCTION("""COMPUTED_VALUE"""),201399.489999999)</f>
        <v>201399.489999999</v>
      </c>
      <c r="F70" s="104">
        <f t="shared" ca="1" si="0"/>
        <v>-1746.2399999990012</v>
      </c>
      <c r="G70" s="100" t="s">
        <v>100</v>
      </c>
      <c r="H70" s="105">
        <v>17000</v>
      </c>
      <c r="I70" s="100">
        <v>2.38</v>
      </c>
      <c r="J70" s="100">
        <v>963</v>
      </c>
      <c r="K70" s="106">
        <v>5.6599999999999998E-2</v>
      </c>
      <c r="L70" s="106">
        <v>0.94340000000000002</v>
      </c>
      <c r="M70" s="100">
        <v>30</v>
      </c>
      <c r="N70" s="105">
        <v>2420</v>
      </c>
      <c r="O70" s="141">
        <v>1.6</v>
      </c>
      <c r="P70" s="105">
        <v>16037</v>
      </c>
      <c r="Q70" s="104">
        <v>75846.720000000001</v>
      </c>
      <c r="R70" s="100">
        <v>4.7300000000000004</v>
      </c>
      <c r="S70" s="100">
        <v>12.45</v>
      </c>
      <c r="T70" s="100">
        <v>12.56</v>
      </c>
      <c r="U70" s="100">
        <v>-0.11</v>
      </c>
      <c r="V70" s="100">
        <v>2.63</v>
      </c>
      <c r="W70" s="105">
        <v>2.66</v>
      </c>
      <c r="X70" s="100">
        <v>-0.02</v>
      </c>
      <c r="Y70" s="100">
        <v>-0.11</v>
      </c>
      <c r="Z70" s="100">
        <v>932</v>
      </c>
      <c r="AA70" s="100" t="s">
        <v>96</v>
      </c>
    </row>
    <row r="71" spans="1:27" ht="14.25" x14ac:dyDescent="0.2">
      <c r="A71" s="100">
        <v>2026</v>
      </c>
      <c r="B71" s="101" t="s">
        <v>5</v>
      </c>
      <c r="C71" s="102" t="s">
        <v>102</v>
      </c>
      <c r="D71" s="103">
        <f ca="1">IFERROR(__xludf.DUMMYFUNCTION("""COMPUTED_VALUE"""),272778.06)</f>
        <v>272778.06</v>
      </c>
      <c r="E71" s="103">
        <f ca="1">IFERROR(__xludf.DUMMYFUNCTION("""COMPUTED_VALUE"""),273102.92)</f>
        <v>273102.92</v>
      </c>
      <c r="F71" s="104">
        <f t="shared" ca="1" si="0"/>
        <v>-324.85999999998603</v>
      </c>
      <c r="G71" s="100" t="s">
        <v>103</v>
      </c>
      <c r="H71" s="105">
        <v>23000</v>
      </c>
      <c r="I71" s="104">
        <v>2.38</v>
      </c>
      <c r="J71" s="105">
        <v>1828</v>
      </c>
      <c r="K71" s="106">
        <v>7.9500000000000001E-2</v>
      </c>
      <c r="L71" s="106">
        <v>0.92049999999999998</v>
      </c>
      <c r="M71" s="100">
        <v>32</v>
      </c>
      <c r="N71" s="105">
        <v>1478</v>
      </c>
      <c r="O71" s="141">
        <v>1.62</v>
      </c>
      <c r="P71" s="105">
        <v>21172</v>
      </c>
      <c r="Q71" s="104">
        <v>45721.5</v>
      </c>
      <c r="R71" s="100">
        <v>2.16</v>
      </c>
      <c r="S71" s="100">
        <v>12.88</v>
      </c>
      <c r="T71" s="100">
        <v>12.9</v>
      </c>
      <c r="U71" s="100">
        <v>-0.02</v>
      </c>
      <c r="V71" s="100">
        <v>5.97</v>
      </c>
      <c r="W71" s="100">
        <v>5.97</v>
      </c>
      <c r="X71" s="100">
        <v>-0.01</v>
      </c>
      <c r="Y71" s="100">
        <v>-0.02</v>
      </c>
      <c r="Z71" s="100">
        <v>384</v>
      </c>
      <c r="AA71" s="100" t="s">
        <v>96</v>
      </c>
    </row>
    <row r="72" spans="1:27" ht="14.25" x14ac:dyDescent="0.2">
      <c r="A72" s="100">
        <v>2026</v>
      </c>
      <c r="B72" s="101" t="s">
        <v>8</v>
      </c>
      <c r="C72" s="102" t="s">
        <v>99</v>
      </c>
      <c r="D72" s="103">
        <f ca="1">IFERROR(__xludf.DUMMYFUNCTION("TRANSPOSE(IMPORTRANGE(""1OP-qxVLNURBqstk-WZQd8qB2vYxDQLc8s35zWl_CMzo"", ""2026!C12:E12""))"),506890.29)</f>
        <v>506890.29</v>
      </c>
      <c r="E72" s="103">
        <f ca="1">IFERROR(__xludf.DUMMYFUNCTION("TRANSPOSE(IMPORTRANGE(""1OP-qxVLNURBqstk-WZQd8qB2vYxDQLc8s35zWl_CMzo"", ""2026!C37:E37""))"),428731.45)</f>
        <v>428731.45</v>
      </c>
      <c r="F72" s="104">
        <f t="shared" ca="1" si="0"/>
        <v>78158.839999999967</v>
      </c>
      <c r="G72" s="100" t="s">
        <v>97</v>
      </c>
      <c r="H72" s="105">
        <v>43800</v>
      </c>
      <c r="I72" s="100">
        <v>2.13</v>
      </c>
      <c r="J72" s="105">
        <v>2180</v>
      </c>
      <c r="K72" s="106">
        <v>4.9799999999999997E-2</v>
      </c>
      <c r="L72" s="106">
        <v>0.95020000000000004</v>
      </c>
      <c r="M72" s="100">
        <v>40</v>
      </c>
      <c r="N72" s="105">
        <v>2739</v>
      </c>
      <c r="O72" s="141">
        <v>1.42</v>
      </c>
      <c r="P72" s="105">
        <v>41620</v>
      </c>
      <c r="Q72" s="104">
        <v>96550.52</v>
      </c>
      <c r="R72" s="100">
        <v>2.3199999999999998</v>
      </c>
      <c r="S72" s="100">
        <v>12.18</v>
      </c>
      <c r="T72" s="100">
        <v>10.3</v>
      </c>
      <c r="U72" s="100">
        <v>1.88</v>
      </c>
      <c r="V72" s="100">
        <v>5.25</v>
      </c>
      <c r="W72" s="105">
        <v>4.4400000000000004</v>
      </c>
      <c r="X72" s="100">
        <v>0.81</v>
      </c>
      <c r="Y72" s="100">
        <v>1.88</v>
      </c>
      <c r="Z72" s="100">
        <v>389</v>
      </c>
      <c r="AA72" s="100" t="s">
        <v>98</v>
      </c>
    </row>
    <row r="73" spans="1:27" ht="14.25" x14ac:dyDescent="0.2">
      <c r="A73" s="100">
        <v>2026</v>
      </c>
      <c r="B73" s="101" t="s">
        <v>8</v>
      </c>
      <c r="C73" s="102" t="s">
        <v>101</v>
      </c>
      <c r="D73" s="103">
        <f ca="1">IFERROR(__xludf.DUMMYFUNCTION("""COMPUTED_VALUE"""),0)</f>
        <v>0</v>
      </c>
      <c r="E73" s="103">
        <f ca="1">IFERROR(__xludf.DUMMYFUNCTION("""COMPUTED_VALUE"""),0)</f>
        <v>0</v>
      </c>
      <c r="F73" s="104">
        <f t="shared" ca="1" si="0"/>
        <v>0</v>
      </c>
      <c r="G73" s="107"/>
      <c r="H73" s="100">
        <v>0</v>
      </c>
      <c r="I73" s="100">
        <v>0</v>
      </c>
      <c r="J73" s="100">
        <v>0</v>
      </c>
      <c r="K73" s="100">
        <v>0</v>
      </c>
      <c r="L73" s="100">
        <v>0</v>
      </c>
      <c r="M73" s="100">
        <v>0</v>
      </c>
      <c r="N73" s="100">
        <v>0</v>
      </c>
      <c r="O73" s="141">
        <v>0</v>
      </c>
      <c r="P73" s="100">
        <v>0</v>
      </c>
      <c r="Q73" s="100">
        <v>0</v>
      </c>
      <c r="R73" s="100">
        <v>0</v>
      </c>
      <c r="S73" s="100">
        <v>0</v>
      </c>
      <c r="T73" s="100">
        <v>0</v>
      </c>
      <c r="U73" s="100">
        <v>0</v>
      </c>
      <c r="V73" s="100">
        <v>0</v>
      </c>
      <c r="W73" s="100">
        <v>0</v>
      </c>
      <c r="X73" s="100">
        <v>0</v>
      </c>
      <c r="Y73" s="100">
        <v>0</v>
      </c>
      <c r="Z73" s="100">
        <v>0</v>
      </c>
      <c r="AA73" s="107"/>
    </row>
    <row r="74" spans="1:27" ht="14.25" x14ac:dyDescent="0.2">
      <c r="A74" s="100">
        <v>2026</v>
      </c>
      <c r="B74" s="101" t="s">
        <v>8</v>
      </c>
      <c r="C74" s="102" t="s">
        <v>102</v>
      </c>
      <c r="D74" s="103">
        <f ca="1">IFERROR(__xludf.DUMMYFUNCTION("""COMPUTED_VALUE"""),0)</f>
        <v>0</v>
      </c>
      <c r="E74" s="103">
        <f ca="1">IFERROR(__xludf.DUMMYFUNCTION("""COMPUTED_VALUE"""),0)</f>
        <v>0</v>
      </c>
      <c r="F74" s="104">
        <f t="shared" ca="1" si="0"/>
        <v>0</v>
      </c>
      <c r="G74" s="107"/>
      <c r="H74" s="100">
        <v>0</v>
      </c>
      <c r="I74" s="100">
        <v>0</v>
      </c>
      <c r="J74" s="100">
        <v>0</v>
      </c>
      <c r="K74" s="100">
        <v>0</v>
      </c>
      <c r="L74" s="100">
        <v>0</v>
      </c>
      <c r="M74" s="100">
        <v>0</v>
      </c>
      <c r="N74" s="100">
        <v>0</v>
      </c>
      <c r="O74" s="141">
        <v>0</v>
      </c>
      <c r="P74" s="100">
        <v>0</v>
      </c>
      <c r="Q74" s="100">
        <v>0</v>
      </c>
      <c r="R74" s="100">
        <v>0</v>
      </c>
      <c r="S74" s="100">
        <v>0</v>
      </c>
      <c r="T74" s="100">
        <v>0</v>
      </c>
      <c r="U74" s="100">
        <v>0</v>
      </c>
      <c r="V74" s="100">
        <v>0</v>
      </c>
      <c r="W74" s="100">
        <v>0</v>
      </c>
      <c r="X74" s="100">
        <v>0</v>
      </c>
      <c r="Y74" s="100">
        <v>0</v>
      </c>
      <c r="Z74" s="100">
        <v>0</v>
      </c>
      <c r="AA74" s="107"/>
    </row>
    <row r="75" spans="1:27" ht="14.25" x14ac:dyDescent="0.2">
      <c r="A75" s="100">
        <v>2026</v>
      </c>
      <c r="B75" s="101" t="s">
        <v>9</v>
      </c>
      <c r="C75" s="102" t="s">
        <v>99</v>
      </c>
      <c r="D75" s="103">
        <f ca="1">IFERROR(__xludf.DUMMYFUNCTION("TRANSPOSE(IMPORTRANGE(""1Y1LY7dyNGLp0NieLSn-6awoDagvXjF5SwgLKBcwcayI"", ""2026!C12:E12""))"),167750.13)</f>
        <v>167750.13</v>
      </c>
      <c r="E75" s="103">
        <f ca="1">IFERROR(__xludf.DUMMYFUNCTION("TRANSPOSE(IMPORTRANGE(""1Y1LY7dyNGLp0NieLSn-6awoDagvXjF5SwgLKBcwcayI"", ""2026!C37:E37""))"),151857.833333333)</f>
        <v>151857.83333333299</v>
      </c>
      <c r="F75" s="104">
        <f t="shared" ca="1" si="0"/>
        <v>15892.296666667011</v>
      </c>
      <c r="G75" s="100" t="s">
        <v>97</v>
      </c>
      <c r="H75" s="105">
        <v>15000</v>
      </c>
      <c r="I75" s="100">
        <v>2.13</v>
      </c>
      <c r="J75" s="105">
        <v>604</v>
      </c>
      <c r="K75" s="106">
        <v>4.0300000000000002E-2</v>
      </c>
      <c r="L75" s="106">
        <v>0.9597</v>
      </c>
      <c r="M75" s="100">
        <v>37</v>
      </c>
      <c r="N75" s="105">
        <v>890</v>
      </c>
      <c r="O75" s="141">
        <v>1.39</v>
      </c>
      <c r="P75" s="105">
        <v>14396</v>
      </c>
      <c r="Q75" s="104">
        <v>31952.400000000001</v>
      </c>
      <c r="R75" s="100">
        <v>2.2200000000000002</v>
      </c>
      <c r="S75" s="100">
        <v>11.65</v>
      </c>
      <c r="T75" s="100">
        <v>10.55</v>
      </c>
      <c r="U75" s="100">
        <v>1.1000000000000001</v>
      </c>
      <c r="V75" s="100">
        <v>5.25</v>
      </c>
      <c r="W75" s="105">
        <v>4.75</v>
      </c>
      <c r="X75" s="100">
        <v>0.5</v>
      </c>
      <c r="Y75" s="100">
        <v>1.1000000000000001</v>
      </c>
      <c r="Z75" s="100">
        <v>414</v>
      </c>
      <c r="AA75" s="100" t="s">
        <v>98</v>
      </c>
    </row>
    <row r="76" spans="1:27" ht="14.25" x14ac:dyDescent="0.2">
      <c r="A76" s="100">
        <v>2026</v>
      </c>
      <c r="B76" s="101" t="s">
        <v>9</v>
      </c>
      <c r="C76" s="102" t="s">
        <v>101</v>
      </c>
      <c r="D76" s="103">
        <f ca="1">IFERROR(__xludf.DUMMYFUNCTION("""COMPUTED_VALUE"""),152144.5)</f>
        <v>152144.5</v>
      </c>
      <c r="E76" s="103">
        <f ca="1">IFERROR(__xludf.DUMMYFUNCTION("""COMPUTED_VALUE"""),156428.358333333)</f>
        <v>156428.35833333299</v>
      </c>
      <c r="F76" s="104">
        <f t="shared" ca="1" si="0"/>
        <v>-4283.858333332988</v>
      </c>
      <c r="G76" s="100" t="s">
        <v>97</v>
      </c>
      <c r="H76" s="105">
        <v>15000</v>
      </c>
      <c r="I76" s="100">
        <v>2.13</v>
      </c>
      <c r="J76" s="105">
        <v>980</v>
      </c>
      <c r="K76" s="106">
        <v>6.5299999999999997E-2</v>
      </c>
      <c r="L76" s="106">
        <v>0.93469999999999998</v>
      </c>
      <c r="M76" s="100">
        <v>38</v>
      </c>
      <c r="N76" s="105">
        <v>883</v>
      </c>
      <c r="O76" s="141">
        <v>1.52</v>
      </c>
      <c r="P76" s="105">
        <v>14020</v>
      </c>
      <c r="Q76" s="104">
        <v>28979.9</v>
      </c>
      <c r="R76" s="100">
        <v>2.0699999999999998</v>
      </c>
      <c r="S76" s="100">
        <v>10.85</v>
      </c>
      <c r="T76" s="100">
        <v>11.16</v>
      </c>
      <c r="U76" s="100">
        <v>-0.31</v>
      </c>
      <c r="V76" s="100">
        <v>5.25</v>
      </c>
      <c r="W76" s="105">
        <v>5.4</v>
      </c>
      <c r="X76" s="100">
        <v>-0.15</v>
      </c>
      <c r="Y76" s="100">
        <v>-0.31</v>
      </c>
      <c r="Z76" s="100">
        <v>334</v>
      </c>
      <c r="AA76" s="100" t="s">
        <v>96</v>
      </c>
    </row>
    <row r="77" spans="1:27" ht="14.25" x14ac:dyDescent="0.2">
      <c r="A77" s="100">
        <v>2026</v>
      </c>
      <c r="B77" s="101" t="s">
        <v>9</v>
      </c>
      <c r="C77" s="102" t="s">
        <v>102</v>
      </c>
      <c r="D77" s="103">
        <f ca="1">IFERROR(__xludf.DUMMYFUNCTION("""COMPUTED_VALUE"""),164068.3)</f>
        <v>164068.29999999999</v>
      </c>
      <c r="E77" s="103">
        <f ca="1">IFERROR(__xludf.DUMMYFUNCTION("""COMPUTED_VALUE"""),151468.333333333)</f>
        <v>151468.33333333299</v>
      </c>
      <c r="F77" s="104">
        <f t="shared" ca="1" si="0"/>
        <v>12599.966666666995</v>
      </c>
      <c r="G77" s="100" t="s">
        <v>97</v>
      </c>
      <c r="H77" s="105">
        <v>15000</v>
      </c>
      <c r="I77" s="100">
        <v>2.2799999999999998</v>
      </c>
      <c r="J77" s="105">
        <v>716</v>
      </c>
      <c r="K77" s="106">
        <v>4.7699999999999999E-2</v>
      </c>
      <c r="L77" s="106">
        <v>0.95230000000000004</v>
      </c>
      <c r="M77" s="100">
        <v>33</v>
      </c>
      <c r="N77" s="105">
        <v>873</v>
      </c>
      <c r="O77" s="141">
        <v>1.4</v>
      </c>
      <c r="P77" s="105">
        <v>14284</v>
      </c>
      <c r="Q77" s="104">
        <v>31251.1</v>
      </c>
      <c r="R77" s="100">
        <v>2.19</v>
      </c>
      <c r="S77" s="100">
        <v>11.49</v>
      </c>
      <c r="T77" s="100">
        <v>10.6</v>
      </c>
      <c r="U77" s="100">
        <v>0.88</v>
      </c>
      <c r="V77" s="100">
        <v>5.25</v>
      </c>
      <c r="W77" s="105">
        <v>4.8499999999999996</v>
      </c>
      <c r="X77" s="100">
        <v>0.4</v>
      </c>
      <c r="Y77" s="100">
        <v>0.88</v>
      </c>
      <c r="Z77" s="100">
        <v>451</v>
      </c>
      <c r="AA77" s="100" t="s">
        <v>104</v>
      </c>
    </row>
    <row r="78" spans="1:27" ht="14.2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142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25" x14ac:dyDescent="0.2">
      <c r="A79" s="3"/>
      <c r="B79" s="3"/>
      <c r="C79" s="3"/>
      <c r="D79" s="3"/>
      <c r="E79" s="3"/>
      <c r="F79" s="3"/>
      <c r="G79" s="3"/>
      <c r="H79" s="5"/>
      <c r="I79" s="5"/>
      <c r="J79" s="5"/>
      <c r="K79" s="5"/>
      <c r="L79" s="5"/>
      <c r="M79" s="5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25" x14ac:dyDescent="0.2">
      <c r="A80" s="3"/>
      <c r="B80" s="3"/>
      <c r="C80" s="3"/>
      <c r="D80" s="3"/>
      <c r="E80" s="3"/>
      <c r="F80" s="3"/>
      <c r="G80" s="3"/>
      <c r="H80" s="5"/>
      <c r="I80" s="5"/>
      <c r="J80" s="5"/>
      <c r="K80" s="5"/>
      <c r="L80" s="5"/>
      <c r="M80" s="5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25" x14ac:dyDescent="0.2">
      <c r="A81" s="3"/>
      <c r="B81" s="3"/>
      <c r="C81" s="3"/>
      <c r="D81" s="3"/>
      <c r="E81" s="3"/>
      <c r="F81" s="3"/>
      <c r="G81" s="3"/>
      <c r="H81" s="5"/>
      <c r="I81" s="5"/>
      <c r="J81" s="5"/>
      <c r="K81" s="5"/>
      <c r="L81" s="5"/>
      <c r="M81" s="5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2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25" x14ac:dyDescent="0.2">
      <c r="A83" s="3"/>
      <c r="B83" s="3"/>
      <c r="C83" s="3"/>
      <c r="D83" s="3"/>
      <c r="E83" s="3"/>
      <c r="F83" s="3"/>
      <c r="G83" s="3"/>
      <c r="H83" s="5"/>
      <c r="I83" s="5"/>
      <c r="J83" s="5"/>
      <c r="K83" s="5"/>
      <c r="L83" s="5"/>
      <c r="M83" s="5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25" x14ac:dyDescent="0.2">
      <c r="A84" s="3"/>
      <c r="B84" s="3"/>
      <c r="C84" s="3"/>
      <c r="D84" s="3"/>
      <c r="E84" s="3"/>
      <c r="F84" s="3"/>
      <c r="G84" s="3"/>
      <c r="H84" s="5"/>
      <c r="I84" s="5"/>
      <c r="J84" s="5"/>
      <c r="K84" s="5"/>
      <c r="L84" s="5"/>
      <c r="M84" s="5"/>
      <c r="N84" s="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25" x14ac:dyDescent="0.2">
      <c r="A85" s="3"/>
      <c r="B85" s="3"/>
      <c r="C85" s="3"/>
      <c r="D85" s="3"/>
      <c r="E85" s="3"/>
      <c r="F85" s="3"/>
      <c r="G85" s="3"/>
      <c r="H85" s="5"/>
      <c r="I85" s="5"/>
      <c r="J85" s="5"/>
      <c r="K85" s="5"/>
      <c r="L85" s="5"/>
      <c r="M85" s="5"/>
      <c r="N85" s="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25" x14ac:dyDescent="0.2">
      <c r="A86" s="3"/>
      <c r="B86" s="3"/>
      <c r="C86" s="3"/>
      <c r="D86" s="3"/>
      <c r="E86" s="3"/>
      <c r="F86" s="3"/>
      <c r="G86" s="3"/>
      <c r="H86" s="5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x14ac:dyDescent="0.2">
      <c r="A87" s="3"/>
      <c r="B87" s="3"/>
      <c r="C87" s="3"/>
      <c r="D87" s="3"/>
      <c r="E87" s="3"/>
      <c r="F87" s="3"/>
      <c r="G87" s="3"/>
      <c r="H87" s="5"/>
      <c r="I87" s="5"/>
      <c r="J87" s="5"/>
      <c r="K87" s="5"/>
      <c r="L87" s="5"/>
      <c r="M87" s="5"/>
      <c r="N87" s="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25" x14ac:dyDescent="0.2">
      <c r="A88" s="3"/>
      <c r="B88" s="3"/>
      <c r="C88" s="3"/>
      <c r="D88" s="3"/>
      <c r="E88" s="3"/>
      <c r="F88" s="3"/>
      <c r="G88" s="3"/>
      <c r="H88" s="5"/>
      <c r="I88" s="5"/>
      <c r="J88" s="5"/>
      <c r="K88" s="5"/>
      <c r="L88" s="5"/>
      <c r="M88" s="5"/>
      <c r="N88" s="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25" x14ac:dyDescent="0.2">
      <c r="A89" s="3"/>
      <c r="B89" s="3"/>
      <c r="C89" s="3"/>
      <c r="D89" s="3"/>
      <c r="E89" s="3"/>
      <c r="F89" s="3"/>
      <c r="G89" s="3"/>
      <c r="H89" s="5"/>
      <c r="I89" s="5"/>
      <c r="J89" s="5"/>
      <c r="K89" s="5"/>
      <c r="L89" s="5"/>
      <c r="M89" s="5"/>
      <c r="N89" s="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2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2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2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2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2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2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2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2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2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2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2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2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2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2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2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2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2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2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2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2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2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2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2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2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2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2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4.2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4.2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4.2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4.2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4.2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4.2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4.2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4.2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.2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4.2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2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4.2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4.2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4.2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4.2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4.2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4.2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4.2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4.2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4.2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4.2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4.2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4.2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4.2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4.2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4.2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4.2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4.2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4.2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4.2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4.2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4.2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4.2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4.2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4.2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4.2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4.2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4.2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4.2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2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4.2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4.2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4.2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4.2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4.2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4.2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4.2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4.2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4.2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4.2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4.2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4.2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4.2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4.2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4.2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4.2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4.2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4.2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4.2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4.2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4.2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4.2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4.2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4.2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4.2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4.2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4.2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4.2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4.2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4.2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4.2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4.2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4.2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4.2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2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4.2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4.2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4.2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4.2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4.2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4.2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4.2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4.2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4.2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4.2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4.2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4.2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4.2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4.2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4.2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4.2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4.2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4.2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4.2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4.2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4.2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4.2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4.2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4.2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4.2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4.2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4.2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4.2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4.2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4.2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4.2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2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4.2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4.2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4.2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4.2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4.2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4.2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4.2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4.2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4.2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4.2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4.2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4.2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4.2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4.2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4.2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4.2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4.2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4.2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4.2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4.2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4.2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4.2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4.2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4.2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4.2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4.2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4.2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4.2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4.2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2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4.2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4.2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4.2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4.2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4.2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4.2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4.2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4.2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4.2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4.2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4.2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4.2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4.2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4.2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4.2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4.2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4.2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4.2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4.2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4.2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4.2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4.2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4.2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4.2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4.2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4.2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4.2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4.2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4.2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4.2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2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4.2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4.2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4.2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4.2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4.2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4.2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4.2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4.2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4.2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4.2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4.2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4.2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4.2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4.2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4.2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4.2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4.2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4.2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4.2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4.2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4.2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4.2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4.2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4.2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4.2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4.2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4.2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4.2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4.2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4.2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2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4.2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4.2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.2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.2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.2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4.2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4.2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4.2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4.2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4.2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4.2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4.2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4.2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4.2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4.2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4.2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4.2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4.2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4.2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4.2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4.2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4.2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4.2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4.2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4.2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4.2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4.2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4.2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4.2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4.2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2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4.2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4.2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4.2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4.2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4.2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4.2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4.2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4.2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4.2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4.2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4.2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4.2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4.2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4.2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4.2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4.2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4.2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4.2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4.2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4.2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4.2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4.2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4.2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4.2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4.2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4.2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4.2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4.2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4.2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4.2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4.2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2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4.2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4.2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4.2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4.2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4.2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4.2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4.2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4.2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4.2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4.2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4.2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4.2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4.2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4.2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4.2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4.2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4.2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4.2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4.2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4.2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4.2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4.2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4.2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4.2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4.2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4.2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4.2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4.2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4.2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4.2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4.2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4.2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4.2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4.2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4.2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4.2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4.2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4.2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4.2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4.2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4.2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4.2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4.2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4.2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4.2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4.2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4.2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4.2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4.2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4.2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4.2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4.2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4.2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4.2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4.2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4.2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4.2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4.2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4.2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4.2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4.2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.2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.2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.2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4.2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4.2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4.2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4.2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4.2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4.2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4.2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4.2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4.2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4.2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4.2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4.2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4.2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4.2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4.2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4.2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4.2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4.2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4.2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4.2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4.2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4.2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4.2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4.2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4.2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4.2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4.2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4.2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4.2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4.2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4.2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4.2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4.2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4.2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4.2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4.2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4.2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4.2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4.2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4.2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4.2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4.2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4.2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4.2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4.2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4.2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4.2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4.2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4.2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4.2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4.2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4.2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4.2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4.2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4.2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4.2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4.2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4.2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4.2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4.2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4.2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4.2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4.2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4.2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4.2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4.2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4.2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4.2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4.2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4.2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4.2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4.2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4.2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4.2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4.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4.2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4.2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4.2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4.2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4.2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4.2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4.2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4.2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4.2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4.2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4.2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4.2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4.2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4.2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4.2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4.2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4.2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4.2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4.2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4.2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4.2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4.2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4.2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4.2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4.2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4.2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4.2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4.2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4.2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4.2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4.2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4.2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4.2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4.2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4.2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4.2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4.2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4.2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4.2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4.2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4.2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4.2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4.2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4.2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4.2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4.2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4.2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4.2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4.2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4.2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4.2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4.2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4.2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4.2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4.2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4.2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4.2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4.2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4.2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4.2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4.2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4.2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4.2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4.2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4.2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4.2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4.2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4.2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4.2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4.2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4.2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4.2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4.2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4.2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4.2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4.2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4.2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4.2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.2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.2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.2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4.2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4.2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4.2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4.2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4.2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4.2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4.2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4.2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4.2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4.2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4.2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4.2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4.2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4.2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4.2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4.2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4.2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4.2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4.2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4.2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4.2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4.2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4.2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4.2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4.2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4.2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4.2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4.2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4.2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4.2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4.2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4.2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4.2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4.2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4.2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4.2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4.2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4.2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4.2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4.2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4.2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4.2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4.2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4.2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4.2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4.2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4.2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4.2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4.2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4.2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4.2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4.2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4.2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4.2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4.2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4.2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4.2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4.2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4.2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4.2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4.2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4.2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4.2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4.2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4.2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4.2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4.2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4.2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4.2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4.2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4.2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4.2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4.2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4.2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4.2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4.2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4.2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4.2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4.2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4.2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4.2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4.2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4.2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4.2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4.2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4.2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4.2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4.2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4.2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4.2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4.2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4.2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4.2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4.2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4.2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4.2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4.2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4.2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4.2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4.2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4.2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4.2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4.2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4.2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4.2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4.2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4.2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4.2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4.2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4.2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4.2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4.2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4.2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4.2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4.2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4.2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4.2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4.2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4.2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4.2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4.2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4.2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4.2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4.2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4.2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4.2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4.2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4.2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4.2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4.2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4.2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4.2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4.2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4.2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.2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.2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.2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4.2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4.2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4.2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4.2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4.2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4.2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4.2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4.2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4.2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4.2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4.2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4.2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4.2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4.2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4.2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4.2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4.2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4.2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4.2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4.2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4.2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4.2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4.2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4.2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4.2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4.2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4.2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4.2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4.2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4.2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4.2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4.2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4.2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4.2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4.2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4.2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4.2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4.2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4.2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4.2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4.2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4.2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4.2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4.2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4.2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4.2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4.2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4.2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4.2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4.2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4.2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4.2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4.2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4.2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4.2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4.2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4.2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4.2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4.2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4.2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4.2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4.2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4.2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4.2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4.2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4.2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4.2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4.2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4.2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4.2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4.2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4.2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4.2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4.2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4.2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4.2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4.2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4.2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4.2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4.2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4.2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4.2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4.2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4.2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4.2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4.2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4.2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4.2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4.2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4.2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4.2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4.2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4.2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4.2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4.2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4.2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4.2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4.2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4.2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4.2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4.2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4.2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4.2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4.2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4.2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4.2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4.2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4.2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4.2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4.2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4.2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4.2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4.2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4.2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4.2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4.2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4.2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4.2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4.2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4.2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4.2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4.2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4.2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4.2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4.2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4.2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4.2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4.2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4.2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4.2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4.2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4.2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4.2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4.2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4.2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4.2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4.2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4.2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4.2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4.2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4.2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4.2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4.2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4.2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4.2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4.2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4.2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4.2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4.2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4.2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4.2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4.2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4.2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.2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.2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.2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4.2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4.2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4.2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4.2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4.2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4.2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4.2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4.2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4.2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4.2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4.2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4.2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4.2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4.2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4.2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4.2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4.2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4.2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4.2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4.2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4.2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4.2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4.2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4.2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4.2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4.2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4.2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4.2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4.2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4.2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4.2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4.2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4.2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4.2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4.2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4.2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4.2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4.2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4.2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4.2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4.2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4.2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4.2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4.2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4.2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4.2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4.2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4.2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4.2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4.2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4.2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4.2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4.2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4.2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4.2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4.2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4.2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4.2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4.2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4.2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4.2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4.2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4.2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4.2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4.2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4.2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4.2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4.2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4.2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4.2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4.2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4.2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4.2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4.2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4.2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4.2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4.2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4.2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4.2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4.2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4.2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4.2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4.2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4.25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4.25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4.25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4.25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4.25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4.25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4.25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4.25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4.25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4.25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4.25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4.25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4.25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4.25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4.25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4.25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4.25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4.25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4.25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4.25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4.25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4.25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4.25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4.25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4.25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4.25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4.25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4.25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4.25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4.25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4.25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4.25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4.25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4.25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</sheetData>
  <pageMargins left="0.7" right="0.7" top="0.75" bottom="0.75" header="0.3" footer="0.3"/>
  <ignoredErrors>
    <ignoredError sqref="I41 H44 I21 AA8 AA33 AA13 AA16 AA19 O30 G8 G11 G17 G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0" summaryRight="0"/>
  </sheetPr>
  <dimension ref="A1:AA104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2.5703125" defaultRowHeight="15.75" customHeight="1" x14ac:dyDescent="0.2"/>
  <cols>
    <col min="1" max="1" width="10.85546875" customWidth="1"/>
    <col min="2" max="2" width="28.5703125" customWidth="1"/>
    <col min="4" max="4" width="16.5703125" customWidth="1"/>
    <col min="5" max="5" width="19" customWidth="1"/>
    <col min="6" max="6" width="13.7109375" customWidth="1"/>
    <col min="7" max="7" width="31.85546875" customWidth="1"/>
    <col min="9" max="9" width="13.7109375" customWidth="1"/>
    <col min="10" max="10" width="17.42578125" customWidth="1"/>
    <col min="14" max="14" width="12.85546875" customWidth="1"/>
    <col min="15" max="15" width="13.140625" customWidth="1"/>
    <col min="16" max="16" width="15.42578125" customWidth="1"/>
    <col min="17" max="17" width="14.85546875" customWidth="1"/>
    <col min="18" max="18" width="10.42578125" customWidth="1"/>
    <col min="19" max="19" width="11.28515625" customWidth="1"/>
    <col min="20" max="20" width="15.28515625" customWidth="1"/>
    <col min="27" max="27" width="17.42578125" customWidth="1"/>
  </cols>
  <sheetData>
    <row r="1" spans="1:27" ht="75" x14ac:dyDescent="0.2">
      <c r="A1" s="11" t="s">
        <v>40</v>
      </c>
      <c r="B1" s="16" t="s">
        <v>0</v>
      </c>
      <c r="C1" s="11" t="s">
        <v>41</v>
      </c>
      <c r="D1" s="11" t="s">
        <v>42</v>
      </c>
      <c r="E1" s="11" t="s">
        <v>43</v>
      </c>
      <c r="F1" s="11" t="s">
        <v>44</v>
      </c>
      <c r="G1" s="11" t="s">
        <v>45</v>
      </c>
      <c r="H1" s="11" t="s">
        <v>46</v>
      </c>
      <c r="I1" s="11" t="s">
        <v>47</v>
      </c>
      <c r="J1" s="11" t="s">
        <v>48</v>
      </c>
      <c r="K1" s="11" t="s">
        <v>49</v>
      </c>
      <c r="L1" s="11" t="s">
        <v>50</v>
      </c>
      <c r="M1" s="11" t="s">
        <v>51</v>
      </c>
      <c r="N1" s="11" t="s">
        <v>52</v>
      </c>
      <c r="O1" s="11" t="s">
        <v>53</v>
      </c>
      <c r="P1" s="11" t="s">
        <v>54</v>
      </c>
      <c r="Q1" s="11" t="s">
        <v>55</v>
      </c>
      <c r="R1" s="11" t="s">
        <v>56</v>
      </c>
      <c r="S1" s="11" t="s">
        <v>57</v>
      </c>
      <c r="T1" s="11" t="s">
        <v>58</v>
      </c>
      <c r="U1" s="11" t="s">
        <v>59</v>
      </c>
      <c r="V1" s="11" t="s">
        <v>60</v>
      </c>
      <c r="W1" s="11" t="s">
        <v>61</v>
      </c>
      <c r="X1" s="11" t="s">
        <v>62</v>
      </c>
      <c r="Y1" s="11" t="s">
        <v>63</v>
      </c>
      <c r="Z1" s="11" t="s">
        <v>64</v>
      </c>
      <c r="AA1" s="11" t="s">
        <v>65</v>
      </c>
    </row>
    <row r="2" spans="1:27" ht="14.25" x14ac:dyDescent="0.2">
      <c r="A2" s="108">
        <v>2026</v>
      </c>
      <c r="B2" s="109" t="s">
        <v>11</v>
      </c>
      <c r="C2" s="108" t="s">
        <v>99</v>
      </c>
      <c r="D2" s="6"/>
      <c r="E2" s="6"/>
      <c r="F2" s="6"/>
      <c r="G2" s="5"/>
      <c r="H2" s="14"/>
      <c r="I2" s="110"/>
      <c r="J2" s="14"/>
      <c r="K2" s="111"/>
      <c r="L2" s="111"/>
      <c r="M2" s="112"/>
      <c r="N2" s="5"/>
      <c r="O2" s="5"/>
      <c r="P2" s="5"/>
      <c r="Q2" s="6"/>
      <c r="R2" s="6"/>
      <c r="S2" s="6"/>
      <c r="T2" s="6"/>
      <c r="U2" s="6"/>
      <c r="V2" s="7"/>
      <c r="W2" s="7"/>
      <c r="X2" s="7"/>
      <c r="Y2" s="7"/>
      <c r="Z2" s="15"/>
      <c r="AA2" s="3"/>
    </row>
    <row r="3" spans="1:27" ht="14.25" x14ac:dyDescent="0.2">
      <c r="A3" s="113"/>
      <c r="B3" s="109"/>
      <c r="C3" s="108"/>
      <c r="D3" s="6"/>
      <c r="E3" s="6"/>
      <c r="F3" s="6"/>
      <c r="G3" s="5"/>
      <c r="H3" s="14"/>
      <c r="I3" s="110"/>
      <c r="J3" s="14"/>
      <c r="K3" s="111"/>
      <c r="L3" s="111"/>
      <c r="M3" s="112"/>
      <c r="N3" s="5"/>
      <c r="O3" s="5"/>
      <c r="P3" s="5"/>
      <c r="Q3" s="6"/>
      <c r="R3" s="6"/>
      <c r="S3" s="6"/>
      <c r="T3" s="7"/>
      <c r="U3" s="7"/>
      <c r="V3" s="7"/>
      <c r="W3" s="7"/>
      <c r="X3" s="7"/>
      <c r="Y3" s="7"/>
      <c r="Z3" s="15"/>
      <c r="AA3" s="3"/>
    </row>
    <row r="4" spans="1:27" ht="14.25" x14ac:dyDescent="0.2">
      <c r="A4" s="113"/>
      <c r="B4" s="109"/>
      <c r="C4" s="108"/>
      <c r="D4" s="6"/>
      <c r="E4" s="6"/>
      <c r="F4" s="6"/>
      <c r="G4" s="5"/>
      <c r="H4" s="14"/>
      <c r="I4" s="110"/>
      <c r="J4" s="14"/>
      <c r="K4" s="111"/>
      <c r="L4" s="111"/>
      <c r="M4" s="112"/>
      <c r="N4" s="5"/>
      <c r="O4" s="5"/>
      <c r="P4" s="5"/>
      <c r="Q4" s="6"/>
      <c r="R4" s="6"/>
      <c r="S4" s="6"/>
      <c r="T4" s="7"/>
      <c r="U4" s="7"/>
      <c r="V4" s="7"/>
      <c r="W4" s="7"/>
      <c r="X4" s="7"/>
      <c r="Y4" s="7"/>
      <c r="Z4" s="15"/>
      <c r="AA4" s="3"/>
    </row>
    <row r="5" spans="1:27" ht="14.25" x14ac:dyDescent="0.2">
      <c r="A5" s="113"/>
      <c r="B5" s="109"/>
      <c r="C5" s="108"/>
      <c r="D5" s="6"/>
      <c r="E5" s="6"/>
      <c r="F5" s="6"/>
      <c r="G5" s="5"/>
      <c r="H5" s="14"/>
      <c r="I5" s="110"/>
      <c r="J5" s="14"/>
      <c r="K5" s="111"/>
      <c r="L5" s="111"/>
      <c r="M5" s="112"/>
      <c r="N5" s="5"/>
      <c r="O5" s="5"/>
      <c r="P5" s="5"/>
      <c r="Q5" s="6"/>
      <c r="R5" s="6"/>
      <c r="S5" s="6"/>
      <c r="T5" s="7"/>
      <c r="U5" s="7"/>
      <c r="V5" s="7"/>
      <c r="W5" s="7"/>
      <c r="X5" s="7"/>
      <c r="Y5" s="7"/>
      <c r="Z5" s="15"/>
      <c r="AA5" s="3"/>
    </row>
    <row r="6" spans="1:27" ht="14.25" x14ac:dyDescent="0.2">
      <c r="A6" s="113"/>
      <c r="B6" s="109"/>
      <c r="C6" s="108"/>
      <c r="D6" s="6"/>
      <c r="E6" s="6"/>
      <c r="F6" s="6"/>
      <c r="G6" s="5"/>
      <c r="H6" s="14"/>
      <c r="I6" s="110"/>
      <c r="J6" s="14"/>
      <c r="K6" s="111"/>
      <c r="L6" s="111"/>
      <c r="M6" s="112"/>
      <c r="N6" s="5"/>
      <c r="O6" s="5"/>
      <c r="P6" s="5"/>
      <c r="Q6" s="6"/>
      <c r="R6" s="6"/>
      <c r="S6" s="6"/>
      <c r="T6" s="7"/>
      <c r="U6" s="7"/>
      <c r="V6" s="7"/>
      <c r="W6" s="7"/>
      <c r="X6" s="7"/>
      <c r="Y6" s="7"/>
      <c r="Z6" s="15"/>
      <c r="AA6" s="3"/>
    </row>
    <row r="7" spans="1:27" ht="14.25" x14ac:dyDescent="0.2">
      <c r="A7" s="113"/>
      <c r="B7" s="109"/>
      <c r="C7" s="108"/>
      <c r="D7" s="6"/>
      <c r="E7" s="6"/>
      <c r="F7" s="6"/>
      <c r="G7" s="5"/>
      <c r="H7" s="14"/>
      <c r="I7" s="110"/>
      <c r="J7" s="14"/>
      <c r="K7" s="111"/>
      <c r="L7" s="111"/>
      <c r="M7" s="112"/>
      <c r="N7" s="5"/>
      <c r="O7" s="5"/>
      <c r="P7" s="5"/>
      <c r="Q7" s="6"/>
      <c r="R7" s="6"/>
      <c r="S7" s="6"/>
      <c r="T7" s="7"/>
      <c r="U7" s="7"/>
      <c r="V7" s="7"/>
      <c r="W7" s="7"/>
      <c r="X7" s="7"/>
      <c r="Y7" s="7"/>
      <c r="Z7" s="15"/>
      <c r="AA7" s="3"/>
    </row>
    <row r="8" spans="1:27" ht="14.25" x14ac:dyDescent="0.2">
      <c r="A8" s="113"/>
      <c r="B8" s="109"/>
      <c r="C8" s="108"/>
      <c r="D8" s="6"/>
      <c r="E8" s="6"/>
      <c r="F8" s="6"/>
      <c r="G8" s="14"/>
      <c r="H8" s="14"/>
      <c r="I8" s="110"/>
      <c r="J8" s="14"/>
      <c r="K8" s="111"/>
      <c r="L8" s="111"/>
      <c r="M8" s="112"/>
      <c r="N8" s="5"/>
      <c r="O8" s="5"/>
      <c r="P8" s="5"/>
      <c r="Q8" s="6"/>
      <c r="R8" s="6"/>
      <c r="S8" s="6"/>
      <c r="T8" s="7"/>
      <c r="U8" s="7"/>
      <c r="V8" s="7"/>
      <c r="W8" s="7"/>
      <c r="X8" s="7"/>
      <c r="Y8" s="7"/>
      <c r="Z8" s="15"/>
      <c r="AA8" s="3"/>
    </row>
    <row r="9" spans="1:27" ht="14.25" x14ac:dyDescent="0.2">
      <c r="A9" s="113"/>
      <c r="B9" s="109"/>
      <c r="C9" s="108"/>
      <c r="D9" s="6"/>
      <c r="E9" s="6"/>
      <c r="F9" s="6"/>
      <c r="G9" s="14"/>
      <c r="H9" s="14"/>
      <c r="I9" s="110"/>
      <c r="J9" s="14"/>
      <c r="K9" s="111"/>
      <c r="L9" s="111"/>
      <c r="M9" s="112"/>
      <c r="N9" s="5"/>
      <c r="O9" s="5"/>
      <c r="P9" s="5"/>
      <c r="Q9" s="6"/>
      <c r="R9" s="6"/>
      <c r="S9" s="6"/>
      <c r="T9" s="7"/>
      <c r="U9" s="7"/>
      <c r="V9" s="7"/>
      <c r="W9" s="7"/>
      <c r="X9" s="7"/>
      <c r="Y9" s="7"/>
      <c r="Z9" s="15"/>
      <c r="AA9" s="3"/>
    </row>
    <row r="10" spans="1:27" ht="14.25" x14ac:dyDescent="0.2">
      <c r="A10" s="113"/>
      <c r="B10" s="109"/>
      <c r="C10" s="108"/>
      <c r="D10" s="6"/>
      <c r="E10" s="6"/>
      <c r="F10" s="6"/>
      <c r="G10" s="14"/>
      <c r="H10" s="14"/>
      <c r="I10" s="110"/>
      <c r="J10" s="14"/>
      <c r="K10" s="111"/>
      <c r="L10" s="111"/>
      <c r="M10" s="112"/>
      <c r="N10" s="5"/>
      <c r="O10" s="5"/>
      <c r="P10" s="5"/>
      <c r="Q10" s="6"/>
      <c r="R10" s="6"/>
      <c r="S10" s="6"/>
      <c r="T10" s="7"/>
      <c r="U10" s="7"/>
      <c r="V10" s="7"/>
      <c r="W10" s="7"/>
      <c r="X10" s="7"/>
      <c r="Y10" s="7"/>
      <c r="Z10" s="15"/>
      <c r="AA10" s="3"/>
    </row>
    <row r="11" spans="1:27" ht="14.25" x14ac:dyDescent="0.2">
      <c r="A11" s="113"/>
      <c r="B11" s="109"/>
      <c r="C11" s="108"/>
      <c r="D11" s="6"/>
      <c r="E11" s="6"/>
      <c r="F11" s="6"/>
      <c r="G11" s="5"/>
      <c r="H11" s="14"/>
      <c r="I11" s="110"/>
      <c r="J11" s="14"/>
      <c r="K11" s="111"/>
      <c r="L11" s="111"/>
      <c r="M11" s="112"/>
      <c r="N11" s="5"/>
      <c r="O11" s="5"/>
      <c r="P11" s="5"/>
      <c r="Q11" s="6"/>
      <c r="R11" s="6"/>
      <c r="S11" s="6"/>
      <c r="T11" s="7"/>
      <c r="U11" s="7"/>
      <c r="V11" s="7"/>
      <c r="W11" s="7"/>
      <c r="X11" s="7"/>
      <c r="Y11" s="7"/>
      <c r="Z11" s="15"/>
      <c r="AA11" s="3"/>
    </row>
    <row r="12" spans="1:27" ht="14.25" x14ac:dyDescent="0.2">
      <c r="A12" s="113"/>
      <c r="B12" s="109"/>
      <c r="C12" s="108"/>
      <c r="D12" s="6"/>
      <c r="E12" s="6"/>
      <c r="F12" s="6"/>
      <c r="G12" s="5"/>
      <c r="H12" s="14"/>
      <c r="I12" s="110"/>
      <c r="J12" s="14"/>
      <c r="K12" s="111"/>
      <c r="L12" s="111"/>
      <c r="M12" s="112"/>
      <c r="N12" s="5"/>
      <c r="O12" s="5"/>
      <c r="P12" s="5"/>
      <c r="Q12" s="6"/>
      <c r="R12" s="6"/>
      <c r="S12" s="6"/>
      <c r="T12" s="7"/>
      <c r="U12" s="7"/>
      <c r="V12" s="7"/>
      <c r="W12" s="7"/>
      <c r="X12" s="7"/>
      <c r="Y12" s="7"/>
      <c r="Z12" s="15"/>
      <c r="AA12" s="3"/>
    </row>
    <row r="13" spans="1:27" ht="14.25" x14ac:dyDescent="0.2">
      <c r="A13" s="113"/>
      <c r="B13" s="109"/>
      <c r="C13" s="108"/>
      <c r="D13" s="6"/>
      <c r="E13" s="6"/>
      <c r="F13" s="6"/>
      <c r="G13" s="5"/>
      <c r="H13" s="14"/>
      <c r="I13" s="110"/>
      <c r="J13" s="14"/>
      <c r="K13" s="111"/>
      <c r="L13" s="111"/>
      <c r="M13" s="112"/>
      <c r="N13" s="5"/>
      <c r="O13" s="5"/>
      <c r="P13" s="5"/>
      <c r="Q13" s="6"/>
      <c r="R13" s="6"/>
      <c r="S13" s="6"/>
      <c r="T13" s="6"/>
      <c r="U13" s="6"/>
      <c r="V13" s="6"/>
      <c r="W13" s="7"/>
      <c r="X13" s="7"/>
      <c r="Y13" s="7"/>
      <c r="Z13" s="15"/>
      <c r="AA13" s="3"/>
    </row>
    <row r="14" spans="1:27" ht="14.25" x14ac:dyDescent="0.2">
      <c r="A14" s="113"/>
      <c r="B14" s="109"/>
      <c r="C14" s="108"/>
      <c r="D14" s="6"/>
      <c r="E14" s="6"/>
      <c r="F14" s="6"/>
      <c r="G14" s="5"/>
      <c r="H14" s="14"/>
      <c r="I14" s="110"/>
      <c r="J14" s="14"/>
      <c r="K14" s="111"/>
      <c r="L14" s="111"/>
      <c r="M14" s="112"/>
      <c r="N14" s="5"/>
      <c r="O14" s="5"/>
      <c r="P14" s="5"/>
      <c r="Q14" s="6"/>
      <c r="R14" s="6"/>
      <c r="S14" s="6"/>
      <c r="T14" s="6"/>
      <c r="U14" s="6"/>
      <c r="V14" s="6"/>
      <c r="W14" s="6"/>
      <c r="X14" s="7"/>
      <c r="Y14" s="7"/>
      <c r="Z14" s="15"/>
      <c r="AA14" s="3"/>
    </row>
    <row r="15" spans="1:27" ht="14.25" x14ac:dyDescent="0.2">
      <c r="A15" s="113"/>
      <c r="B15" s="109"/>
      <c r="C15" s="108"/>
      <c r="D15" s="6"/>
      <c r="E15" s="6"/>
      <c r="F15" s="6"/>
      <c r="G15" s="5"/>
      <c r="H15" s="14"/>
      <c r="I15" s="110"/>
      <c r="J15" s="14"/>
      <c r="K15" s="111"/>
      <c r="L15" s="111"/>
      <c r="M15" s="112"/>
      <c r="N15" s="5"/>
      <c r="O15" s="5"/>
      <c r="P15" s="5"/>
      <c r="Q15" s="6"/>
      <c r="R15" s="6"/>
      <c r="S15" s="6"/>
      <c r="T15" s="7"/>
      <c r="U15" s="7"/>
      <c r="V15" s="7"/>
      <c r="W15" s="7"/>
      <c r="X15" s="7"/>
      <c r="Y15" s="7"/>
      <c r="Z15" s="15"/>
      <c r="AA15" s="3"/>
    </row>
    <row r="16" spans="1:27" ht="14.25" x14ac:dyDescent="0.2">
      <c r="A16" s="113"/>
      <c r="B16" s="109"/>
      <c r="C16" s="108"/>
      <c r="D16" s="6"/>
      <c r="E16" s="6"/>
      <c r="F16" s="6"/>
      <c r="G16" s="5"/>
      <c r="H16" s="14"/>
      <c r="I16" s="110"/>
      <c r="J16" s="14"/>
      <c r="K16" s="111"/>
      <c r="L16" s="111"/>
      <c r="M16" s="112"/>
      <c r="N16" s="5"/>
      <c r="O16" s="5"/>
      <c r="P16" s="5"/>
      <c r="Q16" s="6"/>
      <c r="R16" s="6"/>
      <c r="S16" s="6"/>
      <c r="T16" s="7"/>
      <c r="U16" s="7"/>
      <c r="V16" s="7"/>
      <c r="W16" s="7"/>
      <c r="X16" s="7"/>
      <c r="Y16" s="7"/>
      <c r="Z16" s="15"/>
      <c r="AA16" s="3"/>
    </row>
    <row r="17" spans="1:27" ht="14.25" x14ac:dyDescent="0.2">
      <c r="A17" s="113"/>
      <c r="B17" s="109"/>
      <c r="C17" s="108"/>
      <c r="D17" s="6"/>
      <c r="E17" s="6"/>
      <c r="F17" s="6"/>
      <c r="G17" s="14"/>
      <c r="H17" s="14"/>
      <c r="I17" s="110"/>
      <c r="J17" s="14"/>
      <c r="K17" s="111"/>
      <c r="L17" s="111"/>
      <c r="M17" s="112"/>
      <c r="N17" s="5"/>
      <c r="O17" s="5"/>
      <c r="P17" s="5"/>
      <c r="Q17" s="6"/>
      <c r="R17" s="6"/>
      <c r="S17" s="6"/>
      <c r="T17" s="7"/>
      <c r="U17" s="7"/>
      <c r="V17" s="7"/>
      <c r="W17" s="7"/>
      <c r="X17" s="7"/>
      <c r="Y17" s="7"/>
      <c r="Z17" s="15"/>
      <c r="AA17" s="3"/>
    </row>
    <row r="18" spans="1:27" ht="14.25" x14ac:dyDescent="0.2">
      <c r="A18" s="113"/>
      <c r="B18" s="109"/>
      <c r="C18" s="108"/>
      <c r="D18" s="6"/>
      <c r="E18" s="6"/>
      <c r="F18" s="6"/>
      <c r="G18" s="14"/>
      <c r="H18" s="14"/>
      <c r="I18" s="110"/>
      <c r="J18" s="14"/>
      <c r="K18" s="111"/>
      <c r="L18" s="111"/>
      <c r="M18" s="112"/>
      <c r="N18" s="5"/>
      <c r="O18" s="5"/>
      <c r="P18" s="5"/>
      <c r="Q18" s="6"/>
      <c r="R18" s="6"/>
      <c r="S18" s="6"/>
      <c r="T18" s="7"/>
      <c r="U18" s="7"/>
      <c r="V18" s="7"/>
      <c r="W18" s="7"/>
      <c r="X18" s="7"/>
      <c r="Y18" s="7"/>
      <c r="Z18" s="15"/>
      <c r="AA18" s="3"/>
    </row>
    <row r="19" spans="1:27" ht="14.25" x14ac:dyDescent="0.2">
      <c r="A19" s="113"/>
      <c r="B19" s="109"/>
      <c r="C19" s="108"/>
      <c r="D19" s="6"/>
      <c r="E19" s="6"/>
      <c r="F19" s="6"/>
      <c r="G19" s="14"/>
      <c r="H19" s="14"/>
      <c r="I19" s="110"/>
      <c r="J19" s="14"/>
      <c r="K19" s="111"/>
      <c r="L19" s="111"/>
      <c r="M19" s="112"/>
      <c r="N19" s="5"/>
      <c r="O19" s="5"/>
      <c r="P19" s="5"/>
      <c r="Q19" s="6"/>
      <c r="R19" s="5"/>
      <c r="S19" s="6"/>
      <c r="T19" s="7"/>
      <c r="U19" s="7"/>
      <c r="V19" s="7"/>
      <c r="W19" s="7"/>
      <c r="X19" s="7"/>
      <c r="Y19" s="7"/>
      <c r="Z19" s="15"/>
      <c r="AA19" s="3"/>
    </row>
    <row r="20" spans="1:27" ht="14.25" x14ac:dyDescent="0.2">
      <c r="A20" s="113"/>
      <c r="B20" s="109"/>
      <c r="C20" s="108"/>
      <c r="D20" s="6"/>
      <c r="E20" s="6"/>
      <c r="F20" s="6"/>
      <c r="G20" s="14"/>
      <c r="H20" s="14"/>
      <c r="I20" s="110"/>
      <c r="J20" s="14"/>
      <c r="K20" s="111"/>
      <c r="L20" s="111"/>
      <c r="M20" s="112"/>
      <c r="N20" s="5"/>
      <c r="O20" s="5"/>
      <c r="P20" s="5"/>
      <c r="Q20" s="6"/>
      <c r="R20" s="5"/>
      <c r="S20" s="6"/>
      <c r="T20" s="7"/>
      <c r="U20" s="7"/>
      <c r="V20" s="7"/>
      <c r="W20" s="7"/>
      <c r="X20" s="7"/>
      <c r="Y20" s="7"/>
      <c r="Z20" s="15"/>
      <c r="AA20" s="3"/>
    </row>
    <row r="21" spans="1:27" ht="14.25" x14ac:dyDescent="0.2">
      <c r="A21" s="113"/>
      <c r="B21" s="109"/>
      <c r="C21" s="108"/>
      <c r="D21" s="6"/>
      <c r="E21" s="6"/>
      <c r="F21" s="6"/>
      <c r="G21" s="14"/>
      <c r="H21" s="14"/>
      <c r="I21" s="110"/>
      <c r="J21" s="14"/>
      <c r="K21" s="111"/>
      <c r="L21" s="111"/>
      <c r="M21" s="112"/>
      <c r="N21" s="5"/>
      <c r="O21" s="5"/>
      <c r="P21" s="5"/>
      <c r="Q21" s="6"/>
      <c r="R21" s="5"/>
      <c r="S21" s="6"/>
      <c r="T21" s="7"/>
      <c r="U21" s="7"/>
      <c r="V21" s="7"/>
      <c r="W21" s="7"/>
      <c r="X21" s="7"/>
      <c r="Y21" s="7"/>
      <c r="Z21" s="15"/>
      <c r="AA21" s="3"/>
    </row>
    <row r="22" spans="1:27" ht="14.25" x14ac:dyDescent="0.2">
      <c r="A22" s="113"/>
      <c r="B22" s="109"/>
      <c r="C22" s="108"/>
      <c r="D22" s="6"/>
      <c r="E22" s="6"/>
      <c r="F22" s="6"/>
      <c r="G22" s="5"/>
      <c r="H22" s="14"/>
      <c r="I22" s="110"/>
      <c r="J22" s="14"/>
      <c r="K22" s="111"/>
      <c r="L22" s="111"/>
      <c r="M22" s="112"/>
      <c r="N22" s="5"/>
      <c r="O22" s="5"/>
      <c r="P22" s="5"/>
      <c r="Q22" s="6"/>
      <c r="R22" s="6"/>
      <c r="S22" s="6"/>
      <c r="T22" s="7"/>
      <c r="U22" s="7"/>
      <c r="V22" s="7"/>
      <c r="W22" s="7"/>
      <c r="X22" s="7"/>
      <c r="Y22" s="7"/>
      <c r="Z22" s="15"/>
      <c r="AA22" s="3"/>
    </row>
    <row r="23" spans="1:27" ht="14.25" x14ac:dyDescent="0.2">
      <c r="A23" s="113"/>
      <c r="B23" s="109"/>
      <c r="C23" s="108"/>
      <c r="D23" s="6"/>
      <c r="E23" s="6"/>
      <c r="F23" s="6"/>
      <c r="G23" s="5"/>
      <c r="H23" s="14"/>
      <c r="I23" s="110"/>
      <c r="J23" s="14"/>
      <c r="K23" s="111"/>
      <c r="L23" s="111"/>
      <c r="M23" s="112"/>
      <c r="N23" s="5"/>
      <c r="O23" s="5"/>
      <c r="P23" s="5"/>
      <c r="Q23" s="6"/>
      <c r="R23" s="6"/>
      <c r="S23" s="6"/>
      <c r="T23" s="7"/>
      <c r="U23" s="7"/>
      <c r="V23" s="7"/>
      <c r="W23" s="7"/>
      <c r="X23" s="7"/>
      <c r="Y23" s="7"/>
      <c r="Z23" s="15"/>
      <c r="AA23" s="3"/>
    </row>
    <row r="24" spans="1:27" ht="14.25" x14ac:dyDescent="0.2">
      <c r="A24" s="113"/>
      <c r="B24" s="109"/>
      <c r="C24" s="108"/>
      <c r="D24" s="6"/>
      <c r="E24" s="6"/>
      <c r="F24" s="6"/>
      <c r="G24" s="5"/>
      <c r="H24" s="14"/>
      <c r="I24" s="110"/>
      <c r="J24" s="14"/>
      <c r="K24" s="111"/>
      <c r="L24" s="111"/>
      <c r="M24" s="112"/>
      <c r="N24" s="5"/>
      <c r="O24" s="5"/>
      <c r="P24" s="5"/>
      <c r="Q24" s="6"/>
      <c r="R24" s="6"/>
      <c r="S24" s="6"/>
      <c r="T24" s="7"/>
      <c r="U24" s="7"/>
      <c r="V24" s="7"/>
      <c r="W24" s="7"/>
      <c r="X24" s="7"/>
      <c r="Y24" s="7"/>
      <c r="Z24" s="15"/>
      <c r="AA24" s="3"/>
    </row>
    <row r="25" spans="1:27" ht="14.25" x14ac:dyDescent="0.2">
      <c r="A25" s="113"/>
      <c r="B25" s="109"/>
      <c r="C25" s="108"/>
      <c r="D25" s="6"/>
      <c r="E25" s="6"/>
      <c r="F25" s="6"/>
      <c r="G25" s="5"/>
      <c r="H25" s="14"/>
      <c r="I25" s="110"/>
      <c r="J25" s="14"/>
      <c r="K25" s="111"/>
      <c r="L25" s="111"/>
      <c r="M25" s="112"/>
      <c r="N25" s="5"/>
      <c r="O25" s="5"/>
      <c r="P25" s="5"/>
      <c r="Q25" s="6"/>
      <c r="R25" s="6"/>
      <c r="S25" s="6"/>
      <c r="T25" s="7"/>
      <c r="U25" s="7"/>
      <c r="V25" s="7"/>
      <c r="W25" s="7"/>
      <c r="X25" s="7"/>
      <c r="Y25" s="7"/>
      <c r="Z25" s="15"/>
      <c r="AA25" s="3"/>
    </row>
    <row r="26" spans="1:27" ht="14.25" x14ac:dyDescent="0.2">
      <c r="A26" s="113"/>
      <c r="B26" s="109"/>
      <c r="C26" s="108"/>
      <c r="D26" s="6"/>
      <c r="E26" s="6"/>
      <c r="F26" s="6"/>
      <c r="G26" s="5"/>
      <c r="H26" s="14"/>
      <c r="I26" s="110"/>
      <c r="J26" s="14"/>
      <c r="K26" s="111"/>
      <c r="L26" s="111"/>
      <c r="M26" s="112"/>
      <c r="N26" s="5"/>
      <c r="O26" s="5"/>
      <c r="P26" s="5"/>
      <c r="Q26" s="6"/>
      <c r="R26" s="6"/>
      <c r="S26" s="6"/>
      <c r="T26" s="7"/>
      <c r="U26" s="7"/>
      <c r="V26" s="7"/>
      <c r="W26" s="7"/>
      <c r="X26" s="7"/>
      <c r="Y26" s="7"/>
      <c r="Z26" s="15"/>
      <c r="AA26" s="3"/>
    </row>
    <row r="27" spans="1:27" ht="14.25" x14ac:dyDescent="0.2">
      <c r="A27" s="113"/>
      <c r="B27" s="109"/>
      <c r="C27" s="108"/>
      <c r="D27" s="6"/>
      <c r="E27" s="6"/>
      <c r="F27" s="6"/>
      <c r="G27" s="14"/>
      <c r="H27" s="14"/>
      <c r="I27" s="110"/>
      <c r="J27" s="14"/>
      <c r="K27" s="111"/>
      <c r="L27" s="111"/>
      <c r="M27" s="112"/>
      <c r="N27" s="5"/>
      <c r="O27" s="5"/>
      <c r="P27" s="5"/>
      <c r="Q27" s="6"/>
      <c r="R27" s="5"/>
      <c r="S27" s="6"/>
      <c r="T27" s="7"/>
      <c r="U27" s="7"/>
      <c r="V27" s="7"/>
      <c r="W27" s="7"/>
      <c r="X27" s="7"/>
      <c r="Y27" s="7"/>
      <c r="Z27" s="15"/>
      <c r="AA27" s="3"/>
    </row>
    <row r="28" spans="1:27" ht="14.25" x14ac:dyDescent="0.2">
      <c r="A28" s="113"/>
      <c r="B28" s="109"/>
      <c r="C28" s="108"/>
      <c r="D28" s="6"/>
      <c r="E28" s="6"/>
      <c r="F28" s="6"/>
      <c r="G28" s="14"/>
      <c r="H28" s="14"/>
      <c r="I28" s="110"/>
      <c r="J28" s="14"/>
      <c r="K28" s="111"/>
      <c r="L28" s="111"/>
      <c r="M28" s="112"/>
      <c r="N28" s="5"/>
      <c r="O28" s="5"/>
      <c r="P28" s="5"/>
      <c r="Q28" s="6"/>
      <c r="R28" s="5"/>
      <c r="S28" s="6"/>
      <c r="T28" s="7"/>
      <c r="U28" s="7"/>
      <c r="V28" s="7"/>
      <c r="W28" s="7"/>
      <c r="X28" s="7"/>
      <c r="Y28" s="7"/>
      <c r="Z28" s="15"/>
      <c r="AA28" s="3"/>
    </row>
    <row r="29" spans="1:27" ht="14.25" x14ac:dyDescent="0.2">
      <c r="A29" s="113"/>
      <c r="B29" s="109"/>
      <c r="C29" s="108"/>
      <c r="D29" s="6"/>
      <c r="E29" s="6"/>
      <c r="F29" s="6"/>
      <c r="G29" s="14"/>
      <c r="H29" s="14"/>
      <c r="I29" s="110"/>
      <c r="J29" s="14"/>
      <c r="K29" s="111"/>
      <c r="L29" s="111"/>
      <c r="M29" s="112"/>
      <c r="N29" s="5"/>
      <c r="O29" s="5"/>
      <c r="P29" s="5"/>
      <c r="Q29" s="6"/>
      <c r="R29" s="6"/>
      <c r="S29" s="6"/>
      <c r="T29" s="7"/>
      <c r="U29" s="7"/>
      <c r="V29" s="7"/>
      <c r="W29" s="7"/>
      <c r="X29" s="7"/>
      <c r="Y29" s="7"/>
      <c r="Z29" s="15"/>
      <c r="AA29" s="3"/>
    </row>
    <row r="30" spans="1:27" ht="14.25" x14ac:dyDescent="0.2">
      <c r="A30" s="113"/>
      <c r="B30" s="109"/>
      <c r="C30" s="108"/>
      <c r="D30" s="6"/>
      <c r="E30" s="6"/>
      <c r="F30" s="6"/>
      <c r="G30" s="14"/>
      <c r="H30" s="14"/>
      <c r="I30" s="110"/>
      <c r="J30" s="14"/>
      <c r="K30" s="111"/>
      <c r="L30" s="111"/>
      <c r="M30" s="112"/>
      <c r="N30" s="5"/>
      <c r="O30" s="5"/>
      <c r="P30" s="5"/>
      <c r="Q30" s="6"/>
      <c r="R30" s="6"/>
      <c r="S30" s="6"/>
      <c r="T30" s="7"/>
      <c r="U30" s="7"/>
      <c r="V30" s="7"/>
      <c r="W30" s="7"/>
      <c r="X30" s="7"/>
      <c r="Y30" s="7"/>
      <c r="Z30" s="15"/>
      <c r="AA30" s="3"/>
    </row>
    <row r="31" spans="1:27" ht="14.25" x14ac:dyDescent="0.2">
      <c r="A31" s="113"/>
      <c r="B31" s="109"/>
      <c r="C31" s="108"/>
      <c r="D31" s="6"/>
      <c r="E31" s="6"/>
      <c r="F31" s="6"/>
      <c r="G31" s="14"/>
      <c r="H31" s="14"/>
      <c r="I31" s="110"/>
      <c r="J31" s="14"/>
      <c r="K31" s="111"/>
      <c r="L31" s="111"/>
      <c r="M31" s="112"/>
      <c r="N31" s="5"/>
      <c r="O31" s="5"/>
      <c r="P31" s="5"/>
      <c r="Q31" s="6"/>
      <c r="R31" s="5"/>
      <c r="S31" s="6"/>
      <c r="T31" s="7"/>
      <c r="U31" s="7"/>
      <c r="V31" s="7"/>
      <c r="W31" s="7"/>
      <c r="X31" s="7"/>
      <c r="Y31" s="7"/>
      <c r="Z31" s="15"/>
      <c r="AA31" s="3"/>
    </row>
    <row r="32" spans="1:27" ht="14.25" x14ac:dyDescent="0.2">
      <c r="A32" s="113"/>
      <c r="B32" s="109"/>
      <c r="C32" s="108"/>
      <c r="D32" s="6"/>
      <c r="E32" s="6"/>
      <c r="F32" s="6"/>
      <c r="G32" s="14"/>
      <c r="H32" s="14"/>
      <c r="I32" s="110"/>
      <c r="J32" s="14"/>
      <c r="K32" s="111"/>
      <c r="L32" s="111"/>
      <c r="M32" s="112"/>
      <c r="N32" s="5"/>
      <c r="O32" s="5"/>
      <c r="P32" s="5"/>
      <c r="Q32" s="6"/>
      <c r="R32" s="5"/>
      <c r="S32" s="6"/>
      <c r="T32" s="7"/>
      <c r="U32" s="7"/>
      <c r="V32" s="7"/>
      <c r="W32" s="7"/>
      <c r="X32" s="7"/>
      <c r="Y32" s="7"/>
      <c r="Z32" s="15"/>
      <c r="AA32" s="3"/>
    </row>
    <row r="33" spans="1:27" ht="14.25" x14ac:dyDescent="0.2">
      <c r="A33" s="113"/>
      <c r="B33" s="109"/>
      <c r="C33" s="108"/>
      <c r="D33" s="7"/>
      <c r="E33" s="7"/>
      <c r="F33" s="6"/>
      <c r="G33" s="3"/>
      <c r="H33" s="14"/>
      <c r="I33" s="110"/>
      <c r="J33" s="14"/>
      <c r="K33" s="111"/>
      <c r="L33" s="111"/>
      <c r="M33" s="112"/>
      <c r="N33" s="5"/>
      <c r="O33" s="5"/>
      <c r="P33" s="3"/>
      <c r="Q33" s="7"/>
      <c r="R33" s="3"/>
      <c r="S33" s="6"/>
      <c r="T33" s="3"/>
      <c r="U33" s="3"/>
      <c r="V33" s="3"/>
      <c r="W33" s="3"/>
      <c r="X33" s="3"/>
      <c r="Y33" s="3"/>
      <c r="Z33" s="15"/>
      <c r="AA33" s="3"/>
    </row>
    <row r="34" spans="1:27" ht="14.25" x14ac:dyDescent="0.2">
      <c r="A34" s="113"/>
      <c r="B34" s="109"/>
      <c r="C34" s="108"/>
      <c r="D34" s="6"/>
      <c r="E34" s="6"/>
      <c r="F34" s="6"/>
      <c r="G34" s="5"/>
      <c r="H34" s="14"/>
      <c r="I34" s="110"/>
      <c r="J34" s="14"/>
      <c r="K34" s="111"/>
      <c r="L34" s="111"/>
      <c r="M34" s="112"/>
      <c r="N34" s="5"/>
      <c r="O34" s="5"/>
      <c r="P34" s="5"/>
      <c r="Q34" s="6"/>
      <c r="R34" s="5"/>
      <c r="S34" s="6"/>
      <c r="T34" s="5"/>
      <c r="U34" s="5"/>
      <c r="V34" s="5"/>
      <c r="W34" s="3"/>
      <c r="X34" s="3"/>
      <c r="Y34" s="3"/>
      <c r="Z34" s="15"/>
      <c r="AA34" s="3"/>
    </row>
    <row r="35" spans="1:27" ht="14.25" x14ac:dyDescent="0.2">
      <c r="A35" s="113"/>
      <c r="B35" s="109"/>
      <c r="C35" s="108"/>
      <c r="D35" s="6"/>
      <c r="E35" s="6"/>
      <c r="F35" s="6"/>
      <c r="G35" s="5"/>
      <c r="H35" s="14"/>
      <c r="I35" s="110"/>
      <c r="J35" s="14"/>
      <c r="K35" s="111"/>
      <c r="L35" s="111"/>
      <c r="M35" s="112"/>
      <c r="N35" s="5"/>
      <c r="O35" s="5"/>
      <c r="P35" s="5"/>
      <c r="Q35" s="6"/>
      <c r="R35" s="14"/>
      <c r="S35" s="6"/>
      <c r="T35" s="14"/>
      <c r="U35" s="14"/>
      <c r="V35" s="14"/>
      <c r="W35" s="3"/>
      <c r="X35" s="3"/>
      <c r="Y35" s="3"/>
      <c r="Z35" s="15"/>
      <c r="AA35" s="3"/>
    </row>
    <row r="36" spans="1:27" ht="14.25" x14ac:dyDescent="0.2">
      <c r="A36" s="113"/>
      <c r="B36" s="109"/>
      <c r="C36" s="108"/>
      <c r="D36" s="6"/>
      <c r="E36" s="6"/>
      <c r="F36" s="6"/>
      <c r="G36" s="5"/>
      <c r="H36" s="14"/>
      <c r="I36" s="110"/>
      <c r="J36" s="14"/>
      <c r="K36" s="111"/>
      <c r="L36" s="111"/>
      <c r="M36" s="112"/>
      <c r="N36" s="5"/>
      <c r="O36" s="5"/>
      <c r="P36" s="5"/>
      <c r="Q36" s="6"/>
      <c r="R36" s="6"/>
      <c r="S36" s="6"/>
      <c r="T36" s="6"/>
      <c r="U36" s="6"/>
      <c r="V36" s="6"/>
      <c r="W36" s="3"/>
      <c r="X36" s="3"/>
      <c r="Y36" s="3"/>
      <c r="Z36" s="15"/>
      <c r="AA36" s="3"/>
    </row>
    <row r="37" spans="1:27" ht="14.25" x14ac:dyDescent="0.2">
      <c r="A37" s="113"/>
      <c r="B37" s="109"/>
      <c r="C37" s="108"/>
      <c r="D37" s="6"/>
      <c r="E37" s="6"/>
      <c r="F37" s="6"/>
      <c r="G37" s="5"/>
      <c r="H37" s="14"/>
      <c r="I37" s="110"/>
      <c r="J37" s="14"/>
      <c r="K37" s="111"/>
      <c r="L37" s="111"/>
      <c r="M37" s="112"/>
      <c r="N37" s="5"/>
      <c r="O37" s="5"/>
      <c r="P37" s="5"/>
      <c r="Q37" s="6"/>
      <c r="R37" s="6"/>
      <c r="S37" s="6"/>
      <c r="T37" s="7"/>
      <c r="U37" s="7"/>
      <c r="V37" s="7"/>
      <c r="W37" s="7"/>
      <c r="X37" s="7"/>
      <c r="Y37" s="7"/>
      <c r="Z37" s="15"/>
      <c r="AA37" s="3"/>
    </row>
    <row r="38" spans="1:27" ht="14.25" x14ac:dyDescent="0.2">
      <c r="A38" s="113"/>
      <c r="B38" s="109"/>
      <c r="C38" s="108"/>
      <c r="D38" s="6"/>
      <c r="E38" s="6"/>
      <c r="F38" s="6"/>
      <c r="G38" s="5"/>
      <c r="H38" s="14"/>
      <c r="I38" s="110"/>
      <c r="J38" s="14"/>
      <c r="K38" s="111"/>
      <c r="L38" s="111"/>
      <c r="M38" s="112"/>
      <c r="N38" s="5"/>
      <c r="O38" s="5"/>
      <c r="P38" s="5"/>
      <c r="Q38" s="6"/>
      <c r="R38" s="6"/>
      <c r="S38" s="6"/>
      <c r="T38" s="7"/>
      <c r="U38" s="7"/>
      <c r="V38" s="7"/>
      <c r="W38" s="7"/>
      <c r="X38" s="7"/>
      <c r="Y38" s="7"/>
      <c r="Z38" s="15"/>
      <c r="AA38" s="3"/>
    </row>
    <row r="39" spans="1:27" ht="14.25" x14ac:dyDescent="0.2">
      <c r="A39" s="113"/>
      <c r="B39" s="109"/>
      <c r="C39" s="108"/>
      <c r="D39" s="6"/>
      <c r="E39" s="6"/>
      <c r="F39" s="6"/>
      <c r="G39" s="5"/>
      <c r="H39" s="14"/>
      <c r="I39" s="110"/>
      <c r="J39" s="14"/>
      <c r="K39" s="111"/>
      <c r="L39" s="111"/>
      <c r="M39" s="112"/>
      <c r="N39" s="5"/>
      <c r="O39" s="5"/>
      <c r="P39" s="5"/>
      <c r="Q39" s="6"/>
      <c r="R39" s="6"/>
      <c r="S39" s="6"/>
      <c r="T39" s="7"/>
      <c r="U39" s="7"/>
      <c r="V39" s="7"/>
      <c r="W39" s="7"/>
      <c r="X39" s="7"/>
      <c r="Y39" s="7"/>
      <c r="Z39" s="15"/>
      <c r="AA39" s="3"/>
    </row>
    <row r="40" spans="1:27" ht="14.25" x14ac:dyDescent="0.2">
      <c r="A40" s="113"/>
      <c r="B40" s="109"/>
      <c r="C40" s="108"/>
      <c r="D40" s="6"/>
      <c r="E40" s="6"/>
      <c r="F40" s="6"/>
      <c r="G40" s="5"/>
      <c r="H40" s="14"/>
      <c r="I40" s="110"/>
      <c r="J40" s="14"/>
      <c r="K40" s="111"/>
      <c r="L40" s="111"/>
      <c r="M40" s="112"/>
      <c r="N40" s="5"/>
      <c r="O40" s="5"/>
      <c r="P40" s="5"/>
      <c r="Q40" s="6"/>
      <c r="R40" s="6"/>
      <c r="S40" s="6"/>
      <c r="T40" s="7"/>
      <c r="U40" s="7"/>
      <c r="V40" s="7"/>
      <c r="W40" s="7"/>
      <c r="X40" s="7"/>
      <c r="Y40" s="7"/>
      <c r="Z40" s="15"/>
      <c r="AA40" s="3"/>
    </row>
    <row r="41" spans="1:27" ht="14.25" x14ac:dyDescent="0.2">
      <c r="A41" s="113"/>
      <c r="B41" s="109"/>
      <c r="C41" s="108"/>
      <c r="D41" s="6"/>
      <c r="E41" s="6"/>
      <c r="F41" s="6"/>
      <c r="G41" s="114"/>
      <c r="H41" s="14"/>
      <c r="I41" s="110"/>
      <c r="J41" s="14"/>
      <c r="K41" s="111"/>
      <c r="L41" s="111"/>
      <c r="M41" s="112"/>
      <c r="N41" s="5"/>
      <c r="O41" s="5"/>
      <c r="P41" s="115"/>
      <c r="Q41" s="6"/>
      <c r="R41" s="6"/>
      <c r="S41" s="6"/>
      <c r="T41" s="7"/>
      <c r="U41" s="7"/>
      <c r="V41" s="7"/>
      <c r="W41" s="7"/>
      <c r="X41" s="7"/>
      <c r="Y41" s="7"/>
      <c r="Z41" s="15"/>
      <c r="AA41" s="3"/>
    </row>
    <row r="42" spans="1:27" ht="14.25" x14ac:dyDescent="0.2">
      <c r="A42" s="113"/>
      <c r="B42" s="109"/>
      <c r="C42" s="108"/>
      <c r="D42" s="6"/>
      <c r="E42" s="6"/>
      <c r="F42" s="6"/>
      <c r="G42" s="14"/>
      <c r="H42" s="14"/>
      <c r="I42" s="110"/>
      <c r="J42" s="14"/>
      <c r="K42" s="111"/>
      <c r="L42" s="111"/>
      <c r="M42" s="112"/>
      <c r="N42" s="5"/>
      <c r="O42" s="5"/>
      <c r="P42" s="5"/>
      <c r="Q42" s="6"/>
      <c r="R42" s="5"/>
      <c r="S42" s="6"/>
      <c r="T42" s="7"/>
      <c r="U42" s="7"/>
      <c r="V42" s="7"/>
      <c r="W42" s="7"/>
      <c r="X42" s="7"/>
      <c r="Y42" s="7"/>
      <c r="Z42" s="15"/>
      <c r="AA42" s="3"/>
    </row>
    <row r="43" spans="1:27" ht="14.25" x14ac:dyDescent="0.2">
      <c r="A43" s="113"/>
      <c r="B43" s="109"/>
      <c r="C43" s="108"/>
      <c r="D43" s="6"/>
      <c r="E43" s="6"/>
      <c r="F43" s="6"/>
      <c r="G43" s="14"/>
      <c r="H43" s="14"/>
      <c r="I43" s="110"/>
      <c r="J43" s="14"/>
      <c r="K43" s="111"/>
      <c r="L43" s="111"/>
      <c r="M43" s="112"/>
      <c r="N43" s="5"/>
      <c r="O43" s="5"/>
      <c r="P43" s="5"/>
      <c r="Q43" s="6"/>
      <c r="R43" s="5"/>
      <c r="S43" s="6"/>
      <c r="T43" s="7"/>
      <c r="U43" s="7"/>
      <c r="V43" s="7"/>
      <c r="W43" s="7"/>
      <c r="X43" s="7"/>
      <c r="Y43" s="7"/>
      <c r="Z43" s="15"/>
      <c r="AA43" s="3"/>
    </row>
    <row r="44" spans="1:27" ht="14.25" x14ac:dyDescent="0.2">
      <c r="A44" s="113"/>
      <c r="B44" s="109"/>
      <c r="C44" s="108"/>
      <c r="D44" s="6"/>
      <c r="E44" s="6"/>
      <c r="F44" s="6"/>
      <c r="G44" s="14"/>
      <c r="H44" s="14"/>
      <c r="I44" s="110"/>
      <c r="J44" s="14"/>
      <c r="K44" s="111"/>
      <c r="L44" s="111"/>
      <c r="M44" s="112"/>
      <c r="N44" s="5"/>
      <c r="O44" s="5"/>
      <c r="P44" s="5"/>
      <c r="Q44" s="6"/>
      <c r="R44" s="5"/>
      <c r="S44" s="6"/>
      <c r="T44" s="7"/>
      <c r="U44" s="7"/>
      <c r="V44" s="7"/>
      <c r="W44" s="7"/>
      <c r="X44" s="7"/>
      <c r="Y44" s="7"/>
      <c r="Z44" s="15"/>
      <c r="AA44" s="3"/>
    </row>
    <row r="45" spans="1:27" ht="14.25" x14ac:dyDescent="0.2">
      <c r="A45" s="113"/>
      <c r="B45" s="109"/>
      <c r="C45" s="108"/>
      <c r="D45" s="6"/>
      <c r="E45" s="6"/>
      <c r="F45" s="6"/>
      <c r="G45" s="14"/>
      <c r="H45" s="14"/>
      <c r="I45" s="110"/>
      <c r="J45" s="14"/>
      <c r="K45" s="111"/>
      <c r="L45" s="111"/>
      <c r="M45" s="112"/>
      <c r="N45" s="5"/>
      <c r="O45" s="5"/>
      <c r="P45" s="5"/>
      <c r="Q45" s="6"/>
      <c r="R45" s="5"/>
      <c r="S45" s="6"/>
      <c r="T45" s="7"/>
      <c r="U45" s="7"/>
      <c r="V45" s="7"/>
      <c r="W45" s="7"/>
      <c r="X45" s="7"/>
      <c r="Y45" s="7"/>
      <c r="Z45" s="15"/>
      <c r="AA45" s="3"/>
    </row>
    <row r="46" spans="1:27" ht="14.25" x14ac:dyDescent="0.2">
      <c r="A46" s="113"/>
      <c r="B46" s="109"/>
      <c r="C46" s="108"/>
      <c r="D46" s="6"/>
      <c r="E46" s="6"/>
      <c r="F46" s="6"/>
      <c r="G46" s="14"/>
      <c r="H46" s="14"/>
      <c r="I46" s="110"/>
      <c r="J46" s="14"/>
      <c r="K46" s="111"/>
      <c r="L46" s="111"/>
      <c r="M46" s="112"/>
      <c r="N46" s="5"/>
      <c r="O46" s="5"/>
      <c r="P46" s="5"/>
      <c r="Q46" s="6"/>
      <c r="R46" s="6"/>
      <c r="S46" s="6"/>
      <c r="T46" s="7"/>
      <c r="U46" s="7"/>
      <c r="V46" s="7"/>
      <c r="W46" s="7"/>
      <c r="X46" s="7"/>
      <c r="Y46" s="7"/>
      <c r="Z46" s="15"/>
      <c r="AA46" s="3"/>
    </row>
    <row r="47" spans="1:27" ht="14.25" x14ac:dyDescent="0.2">
      <c r="A47" s="113"/>
      <c r="B47" s="109"/>
      <c r="C47" s="108"/>
      <c r="D47" s="6"/>
      <c r="E47" s="6"/>
      <c r="F47" s="6"/>
      <c r="G47" s="14"/>
      <c r="H47" s="14"/>
      <c r="I47" s="110"/>
      <c r="J47" s="14"/>
      <c r="K47" s="111"/>
      <c r="L47" s="111"/>
      <c r="M47" s="112"/>
      <c r="N47" s="5"/>
      <c r="O47" s="5"/>
      <c r="P47" s="5"/>
      <c r="Q47" s="6"/>
      <c r="R47" s="6"/>
      <c r="S47" s="6"/>
      <c r="T47" s="7"/>
      <c r="U47" s="7"/>
      <c r="V47" s="7"/>
      <c r="W47" s="7"/>
      <c r="X47" s="7"/>
      <c r="Y47" s="7"/>
      <c r="Z47" s="15"/>
      <c r="AA47" s="3"/>
    </row>
    <row r="48" spans="1:27" ht="14.25" x14ac:dyDescent="0.2">
      <c r="A48" s="113"/>
      <c r="B48" s="109"/>
      <c r="C48" s="108"/>
      <c r="D48" s="6"/>
      <c r="E48" s="6"/>
      <c r="F48" s="6"/>
      <c r="G48" s="5"/>
      <c r="H48" s="14"/>
      <c r="I48" s="110"/>
      <c r="J48" s="14"/>
      <c r="K48" s="111"/>
      <c r="L48" s="111"/>
      <c r="M48" s="112"/>
      <c r="N48" s="5"/>
      <c r="O48" s="5"/>
      <c r="P48" s="5"/>
      <c r="Q48" s="6"/>
      <c r="R48" s="5"/>
      <c r="S48" s="6"/>
      <c r="T48" s="5"/>
      <c r="U48" s="5"/>
      <c r="V48" s="5"/>
      <c r="W48" s="3"/>
      <c r="X48" s="3"/>
      <c r="Y48" s="3"/>
      <c r="Z48" s="15"/>
      <c r="AA48" s="3"/>
    </row>
    <row r="49" spans="1:27" ht="14.25" x14ac:dyDescent="0.2">
      <c r="A49" s="113"/>
      <c r="B49" s="109"/>
      <c r="C49" s="108"/>
      <c r="D49" s="7"/>
      <c r="E49" s="7"/>
      <c r="F49" s="6"/>
      <c r="G49" s="3"/>
      <c r="H49" s="14"/>
      <c r="I49" s="110"/>
      <c r="J49" s="14"/>
      <c r="K49" s="111"/>
      <c r="L49" s="111"/>
      <c r="M49" s="112"/>
      <c r="N49" s="5"/>
      <c r="O49" s="5"/>
      <c r="P49" s="3"/>
      <c r="Q49" s="7"/>
      <c r="R49" s="3"/>
      <c r="S49" s="6"/>
      <c r="T49" s="3"/>
      <c r="U49" s="3"/>
      <c r="V49" s="3"/>
      <c r="W49" s="3"/>
      <c r="X49" s="3"/>
      <c r="Y49" s="3"/>
      <c r="Z49" s="15"/>
      <c r="AA49" s="3"/>
    </row>
    <row r="50" spans="1:27" ht="16.5" customHeight="1" x14ac:dyDescent="0.2">
      <c r="A50" s="113"/>
      <c r="B50" s="109"/>
      <c r="C50" s="108"/>
      <c r="D50" s="6"/>
      <c r="E50" s="6"/>
      <c r="F50" s="6"/>
      <c r="G50" s="5"/>
      <c r="H50" s="14"/>
      <c r="I50" s="110"/>
      <c r="J50" s="14"/>
      <c r="K50" s="111"/>
      <c r="L50" s="111"/>
      <c r="M50" s="112"/>
      <c r="N50" s="5"/>
      <c r="O50" s="5"/>
      <c r="P50" s="5"/>
      <c r="Q50" s="6"/>
      <c r="R50" s="5"/>
      <c r="S50" s="6"/>
      <c r="T50" s="5"/>
      <c r="U50" s="5"/>
      <c r="V50" s="5"/>
      <c r="W50" s="3"/>
      <c r="X50" s="3"/>
      <c r="Y50" s="3"/>
      <c r="Z50" s="15"/>
      <c r="AA50" s="3"/>
    </row>
    <row r="51" spans="1:27" ht="14.25" x14ac:dyDescent="0.2">
      <c r="A51" s="113"/>
      <c r="B51" s="109"/>
      <c r="C51" s="108"/>
      <c r="D51" s="6"/>
      <c r="E51" s="6"/>
      <c r="F51" s="6"/>
      <c r="G51" s="5"/>
      <c r="H51" s="14"/>
      <c r="I51" s="110"/>
      <c r="J51" s="14"/>
      <c r="K51" s="111"/>
      <c r="L51" s="111"/>
      <c r="M51" s="112"/>
      <c r="N51" s="5"/>
      <c r="O51" s="5"/>
      <c r="P51" s="5"/>
      <c r="Q51" s="6"/>
      <c r="R51" s="5"/>
      <c r="S51" s="6"/>
      <c r="T51" s="5"/>
      <c r="U51" s="5"/>
      <c r="V51" s="5"/>
      <c r="W51" s="3"/>
      <c r="X51" s="3"/>
      <c r="Y51" s="3"/>
      <c r="Z51" s="15"/>
      <c r="AA51" s="3"/>
    </row>
    <row r="52" spans="1:27" ht="14.25" x14ac:dyDescent="0.2">
      <c r="A52" s="113"/>
      <c r="B52" s="109"/>
      <c r="C52" s="108"/>
      <c r="D52" s="6"/>
      <c r="E52" s="6"/>
      <c r="F52" s="6"/>
      <c r="G52" s="5"/>
      <c r="H52" s="14"/>
      <c r="I52" s="110"/>
      <c r="J52" s="14"/>
      <c r="K52" s="111"/>
      <c r="L52" s="111"/>
      <c r="M52" s="112"/>
      <c r="N52" s="5"/>
      <c r="O52" s="5"/>
      <c r="P52" s="5"/>
      <c r="Q52" s="6"/>
      <c r="R52" s="5"/>
      <c r="S52" s="6"/>
      <c r="T52" s="5"/>
      <c r="U52" s="5"/>
      <c r="V52" s="5"/>
      <c r="W52" s="3"/>
      <c r="X52" s="3"/>
      <c r="Y52" s="3"/>
      <c r="Z52" s="15"/>
      <c r="AA52" s="3"/>
    </row>
    <row r="53" spans="1:27" ht="14.25" x14ac:dyDescent="0.2">
      <c r="A53" s="113"/>
      <c r="B53" s="109"/>
      <c r="C53" s="108"/>
      <c r="D53" s="7"/>
      <c r="E53" s="7"/>
      <c r="F53" s="6"/>
      <c r="G53" s="3"/>
      <c r="H53" s="14"/>
      <c r="I53" s="110"/>
      <c r="J53" s="14"/>
      <c r="K53" s="111"/>
      <c r="L53" s="111"/>
      <c r="M53" s="112"/>
      <c r="N53" s="5"/>
      <c r="O53" s="5"/>
      <c r="P53" s="3"/>
      <c r="Q53" s="7"/>
      <c r="R53" s="3"/>
      <c r="S53" s="6"/>
      <c r="T53" s="3"/>
      <c r="U53" s="3"/>
      <c r="V53" s="3"/>
      <c r="W53" s="3"/>
      <c r="X53" s="3"/>
      <c r="Y53" s="3"/>
      <c r="Z53" s="15"/>
      <c r="AA53" s="3"/>
    </row>
    <row r="54" spans="1:27" ht="14.25" x14ac:dyDescent="0.2">
      <c r="A54" s="113"/>
      <c r="B54" s="109"/>
      <c r="C54" s="108"/>
      <c r="D54" s="116"/>
      <c r="E54" s="116"/>
      <c r="F54" s="6"/>
      <c r="G54" s="117"/>
      <c r="H54" s="14"/>
      <c r="I54" s="110"/>
      <c r="J54" s="14"/>
      <c r="K54" s="111"/>
      <c r="L54" s="111"/>
      <c r="M54" s="112"/>
      <c r="N54" s="5"/>
      <c r="O54" s="5"/>
      <c r="P54" s="118"/>
      <c r="Q54" s="6"/>
      <c r="R54" s="6"/>
      <c r="S54" s="6"/>
      <c r="T54" s="7"/>
      <c r="U54" s="7"/>
      <c r="V54" s="7"/>
      <c r="W54" s="7"/>
      <c r="X54" s="7"/>
      <c r="Y54" s="7"/>
      <c r="Z54" s="15"/>
      <c r="AA54" s="3"/>
    </row>
    <row r="55" spans="1:27" ht="14.25" x14ac:dyDescent="0.2">
      <c r="A55" s="113"/>
      <c r="B55" s="109"/>
      <c r="C55" s="108"/>
      <c r="D55" s="116"/>
      <c r="E55" s="116"/>
      <c r="F55" s="6"/>
      <c r="G55" s="117"/>
      <c r="H55" s="14"/>
      <c r="I55" s="110"/>
      <c r="J55" s="14"/>
      <c r="K55" s="111"/>
      <c r="L55" s="111"/>
      <c r="M55" s="112"/>
      <c r="N55" s="5"/>
      <c r="O55" s="5"/>
      <c r="P55" s="118"/>
      <c r="Q55" s="6"/>
      <c r="R55" s="6"/>
      <c r="S55" s="6"/>
      <c r="T55" s="7"/>
      <c r="U55" s="7"/>
      <c r="V55" s="7"/>
      <c r="W55" s="7"/>
      <c r="X55" s="7"/>
      <c r="Y55" s="7"/>
      <c r="Z55" s="15"/>
      <c r="AA55" s="3"/>
    </row>
    <row r="56" spans="1:27" ht="14.25" x14ac:dyDescent="0.2">
      <c r="A56" s="113"/>
      <c r="B56" s="109"/>
      <c r="C56" s="108"/>
      <c r="D56" s="116"/>
      <c r="E56" s="116"/>
      <c r="F56" s="6"/>
      <c r="G56" s="117"/>
      <c r="H56" s="14"/>
      <c r="I56" s="5"/>
      <c r="J56" s="14"/>
      <c r="K56" s="111"/>
      <c r="L56" s="111"/>
      <c r="M56" s="112"/>
      <c r="N56" s="5"/>
      <c r="O56" s="5"/>
      <c r="P56" s="118"/>
      <c r="Q56" s="6"/>
      <c r="R56" s="6"/>
      <c r="S56" s="6"/>
      <c r="T56" s="7"/>
      <c r="U56" s="7"/>
      <c r="V56" s="7"/>
      <c r="W56" s="7"/>
      <c r="X56" s="7"/>
      <c r="Y56" s="7"/>
      <c r="Z56" s="15"/>
      <c r="AA56" s="3"/>
    </row>
    <row r="57" spans="1:27" ht="14.25" x14ac:dyDescent="0.2">
      <c r="A57" s="113"/>
      <c r="B57" s="109"/>
      <c r="C57" s="108"/>
      <c r="D57" s="116"/>
      <c r="E57" s="116"/>
      <c r="F57" s="6"/>
      <c r="G57" s="117"/>
      <c r="H57" s="14"/>
      <c r="I57" s="5"/>
      <c r="J57" s="14"/>
      <c r="K57" s="111"/>
      <c r="L57" s="111"/>
      <c r="M57" s="112"/>
      <c r="N57" s="5"/>
      <c r="O57" s="5"/>
      <c r="P57" s="118"/>
      <c r="Q57" s="6"/>
      <c r="R57" s="6"/>
      <c r="S57" s="6"/>
      <c r="T57" s="7"/>
      <c r="U57" s="7"/>
      <c r="V57" s="7"/>
      <c r="W57" s="7"/>
      <c r="X57" s="7"/>
      <c r="Y57" s="7"/>
      <c r="Z57" s="15"/>
      <c r="AA57" s="3"/>
    </row>
    <row r="58" spans="1:27" ht="14.25" x14ac:dyDescent="0.2">
      <c r="A58" s="113"/>
      <c r="B58" s="109"/>
      <c r="C58" s="108"/>
      <c r="D58" s="6"/>
      <c r="E58" s="6"/>
      <c r="F58" s="6"/>
      <c r="G58" s="14"/>
      <c r="H58" s="119"/>
      <c r="I58" s="116"/>
      <c r="J58" s="119"/>
      <c r="K58" s="120"/>
      <c r="L58" s="120"/>
      <c r="M58" s="121"/>
      <c r="N58" s="119"/>
      <c r="O58" s="122"/>
      <c r="P58" s="119"/>
      <c r="Q58" s="116"/>
      <c r="R58" s="116"/>
      <c r="S58" s="116"/>
      <c r="T58" s="116"/>
      <c r="U58" s="116"/>
      <c r="V58" s="116"/>
      <c r="W58" s="116"/>
      <c r="X58" s="116"/>
      <c r="Y58" s="123"/>
      <c r="Z58" s="124"/>
      <c r="AA58" s="5"/>
    </row>
    <row r="59" spans="1:27" ht="14.25" x14ac:dyDescent="0.2">
      <c r="A59" s="113"/>
      <c r="B59" s="109"/>
      <c r="C59" s="108"/>
      <c r="D59" s="6"/>
      <c r="E59" s="6"/>
      <c r="F59" s="6"/>
      <c r="G59" s="14"/>
      <c r="H59" s="14"/>
      <c r="I59" s="110"/>
      <c r="J59" s="14"/>
      <c r="K59" s="111"/>
      <c r="L59" s="111"/>
      <c r="M59" s="112"/>
      <c r="N59" s="5"/>
      <c r="O59" s="5"/>
      <c r="P59" s="5"/>
      <c r="Q59" s="6"/>
      <c r="R59" s="5"/>
      <c r="S59" s="6"/>
      <c r="T59" s="7"/>
      <c r="U59" s="7"/>
      <c r="V59" s="7"/>
      <c r="W59" s="7"/>
      <c r="X59" s="7"/>
      <c r="Y59" s="7"/>
      <c r="Z59" s="15"/>
      <c r="AA59" s="3"/>
    </row>
    <row r="60" spans="1:27" ht="14.25" x14ac:dyDescent="0.2">
      <c r="A60" s="113"/>
      <c r="B60" s="109"/>
      <c r="C60" s="108"/>
      <c r="D60" s="6"/>
      <c r="E60" s="6"/>
      <c r="F60" s="6"/>
      <c r="G60" s="14"/>
      <c r="H60" s="14"/>
      <c r="I60" s="110"/>
      <c r="J60" s="14"/>
      <c r="K60" s="111"/>
      <c r="L60" s="111"/>
      <c r="M60" s="112"/>
      <c r="N60" s="5"/>
      <c r="O60" s="5"/>
      <c r="P60" s="5"/>
      <c r="Q60" s="6"/>
      <c r="R60" s="5"/>
      <c r="S60" s="6"/>
      <c r="T60" s="3"/>
      <c r="U60" s="3"/>
      <c r="V60" s="3"/>
      <c r="W60" s="3"/>
      <c r="X60" s="3"/>
      <c r="Y60" s="3"/>
      <c r="Z60" s="15"/>
      <c r="AA60" s="3"/>
    </row>
    <row r="61" spans="1:27" ht="14.25" x14ac:dyDescent="0.2">
      <c r="A61" s="113"/>
      <c r="B61" s="109"/>
      <c r="C61" s="108"/>
      <c r="D61" s="6"/>
      <c r="E61" s="6"/>
      <c r="F61" s="6"/>
      <c r="G61" s="14"/>
      <c r="H61" s="14"/>
      <c r="I61" s="110"/>
      <c r="J61" s="14"/>
      <c r="K61" s="111"/>
      <c r="L61" s="111"/>
      <c r="M61" s="112"/>
      <c r="N61" s="5"/>
      <c r="O61" s="5"/>
      <c r="P61" s="3"/>
      <c r="Q61" s="7"/>
      <c r="R61" s="3"/>
      <c r="S61" s="6"/>
      <c r="T61" s="3"/>
      <c r="U61" s="3"/>
      <c r="V61" s="3"/>
      <c r="W61" s="3"/>
      <c r="X61" s="3"/>
      <c r="Y61" s="3"/>
      <c r="Z61" s="15"/>
      <c r="AA61" s="3"/>
    </row>
    <row r="62" spans="1:27" ht="14.25" x14ac:dyDescent="0.2">
      <c r="A62" s="113"/>
      <c r="B62" s="109"/>
      <c r="C62" s="108"/>
      <c r="D62" s="6"/>
      <c r="E62" s="6"/>
      <c r="F62" s="6"/>
      <c r="G62" s="14"/>
      <c r="H62" s="14"/>
      <c r="I62" s="110"/>
      <c r="J62" s="14"/>
      <c r="K62" s="111"/>
      <c r="L62" s="111"/>
      <c r="M62" s="112"/>
      <c r="N62" s="5"/>
      <c r="O62" s="5"/>
      <c r="P62" s="3"/>
      <c r="Q62" s="7"/>
      <c r="R62" s="3"/>
      <c r="S62" s="6"/>
      <c r="T62" s="3"/>
      <c r="U62" s="3"/>
      <c r="V62" s="3"/>
      <c r="W62" s="3"/>
      <c r="X62" s="3"/>
      <c r="Y62" s="3"/>
      <c r="Z62" s="15"/>
      <c r="AA62" s="3"/>
    </row>
    <row r="63" spans="1:27" ht="14.25" x14ac:dyDescent="0.2">
      <c r="A63" s="113"/>
      <c r="B63" s="109"/>
      <c r="C63" s="108"/>
      <c r="D63" s="6"/>
      <c r="E63" s="6"/>
      <c r="F63" s="6"/>
      <c r="G63" s="14"/>
      <c r="H63" s="14"/>
      <c r="I63" s="5"/>
      <c r="J63" s="14"/>
      <c r="K63" s="111"/>
      <c r="L63" s="111"/>
      <c r="M63" s="5"/>
      <c r="N63" s="14"/>
      <c r="O63" s="5"/>
      <c r="P63" s="14"/>
      <c r="Q63" s="6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4.25" x14ac:dyDescent="0.2">
      <c r="A64" s="113"/>
      <c r="B64" s="109"/>
      <c r="C64" s="108"/>
      <c r="D64" s="6"/>
      <c r="E64" s="6"/>
      <c r="F64" s="6"/>
      <c r="G64" s="5"/>
      <c r="H64" s="14"/>
      <c r="I64" s="110"/>
      <c r="J64" s="14"/>
      <c r="K64" s="111"/>
      <c r="L64" s="111"/>
      <c r="M64" s="112"/>
      <c r="N64" s="5"/>
      <c r="O64" s="5"/>
      <c r="P64" s="5"/>
      <c r="Q64" s="6"/>
      <c r="R64" s="5"/>
      <c r="S64" s="6"/>
      <c r="T64" s="5"/>
      <c r="U64" s="5"/>
      <c r="V64" s="5"/>
      <c r="W64" s="3"/>
      <c r="X64" s="3"/>
      <c r="Y64" s="3"/>
      <c r="Z64" s="15"/>
      <c r="AA64" s="3"/>
    </row>
    <row r="65" spans="1:27" ht="14.25" x14ac:dyDescent="0.2">
      <c r="A65" s="113"/>
      <c r="B65" s="109"/>
      <c r="C65" s="108"/>
      <c r="D65" s="6"/>
      <c r="E65" s="6"/>
      <c r="F65" s="6"/>
      <c r="G65" s="5"/>
      <c r="H65" s="14"/>
      <c r="I65" s="110"/>
      <c r="J65" s="14"/>
      <c r="K65" s="111"/>
      <c r="L65" s="111"/>
      <c r="M65" s="112"/>
      <c r="N65" s="5"/>
      <c r="O65" s="5"/>
      <c r="P65" s="5"/>
      <c r="Q65" s="6"/>
      <c r="R65" s="5"/>
      <c r="S65" s="6"/>
      <c r="T65" s="5"/>
      <c r="U65" s="5"/>
      <c r="V65" s="5"/>
      <c r="W65" s="3"/>
      <c r="X65" s="3"/>
      <c r="Y65" s="3"/>
      <c r="Z65" s="15"/>
      <c r="AA65" s="3"/>
    </row>
    <row r="66" spans="1:27" ht="14.25" x14ac:dyDescent="0.2">
      <c r="A66" s="113"/>
      <c r="B66" s="109"/>
      <c r="C66" s="108"/>
      <c r="D66" s="7"/>
      <c r="E66" s="7"/>
      <c r="F66" s="6"/>
      <c r="G66" s="3"/>
      <c r="H66" s="15"/>
      <c r="I66" s="3"/>
      <c r="J66" s="15"/>
      <c r="K66" s="111"/>
      <c r="L66" s="125"/>
      <c r="M66" s="126"/>
      <c r="N66" s="3"/>
      <c r="O66" s="3"/>
      <c r="P66" s="3"/>
      <c r="Q66" s="7"/>
      <c r="R66" s="3"/>
      <c r="S66" s="6"/>
      <c r="T66" s="5"/>
      <c r="U66" s="5"/>
      <c r="V66" s="5"/>
      <c r="W66" s="3"/>
      <c r="X66" s="3"/>
      <c r="Y66" s="3"/>
      <c r="Z66" s="15"/>
      <c r="AA66" s="3"/>
    </row>
    <row r="67" spans="1:27" ht="14.25" x14ac:dyDescent="0.2">
      <c r="A67" s="113"/>
      <c r="B67" s="109"/>
      <c r="C67" s="108"/>
      <c r="D67" s="7"/>
      <c r="E67" s="7"/>
      <c r="F67" s="6"/>
      <c r="G67" s="3"/>
      <c r="H67" s="15"/>
      <c r="I67" s="3"/>
      <c r="J67" s="15"/>
      <c r="K67" s="111"/>
      <c r="L67" s="125"/>
      <c r="M67" s="126"/>
      <c r="N67" s="3"/>
      <c r="O67" s="3"/>
      <c r="P67" s="3"/>
      <c r="Q67" s="3"/>
      <c r="R67" s="3"/>
      <c r="S67" s="6"/>
      <c r="T67" s="3"/>
      <c r="U67" s="3"/>
      <c r="V67" s="3"/>
      <c r="W67" s="3"/>
      <c r="X67" s="3"/>
      <c r="Y67" s="3"/>
      <c r="Z67" s="3"/>
      <c r="AA67" s="3"/>
    </row>
    <row r="68" spans="1:27" ht="14.25" x14ac:dyDescent="0.2">
      <c r="A68" s="113"/>
      <c r="B68" s="109"/>
      <c r="C68" s="108"/>
      <c r="D68" s="7"/>
      <c r="E68" s="7"/>
      <c r="F68" s="6"/>
      <c r="G68" s="5"/>
      <c r="H68" s="14"/>
      <c r="I68" s="5"/>
      <c r="J68" s="14"/>
      <c r="K68" s="111"/>
      <c r="L68" s="111"/>
      <c r="M68" s="5"/>
      <c r="N68" s="5"/>
      <c r="O68" s="5"/>
      <c r="P68" s="14"/>
      <c r="Q68" s="6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4.25" x14ac:dyDescent="0.2">
      <c r="A69" s="5"/>
      <c r="B69" s="109"/>
      <c r="C69" s="108"/>
      <c r="D69" s="3"/>
      <c r="E69" s="3"/>
      <c r="F69" s="6"/>
      <c r="G69" s="5"/>
      <c r="H69" s="14"/>
      <c r="I69" s="6"/>
      <c r="J69" s="14"/>
      <c r="K69" s="111"/>
      <c r="L69" s="111"/>
      <c r="M69" s="5"/>
      <c r="N69" s="14"/>
      <c r="O69" s="5"/>
      <c r="P69" s="14"/>
      <c r="Q69" s="6"/>
      <c r="R69" s="5"/>
      <c r="S69" s="5"/>
      <c r="T69" s="5"/>
      <c r="U69" s="5"/>
      <c r="V69" s="5"/>
      <c r="W69" s="5"/>
      <c r="X69" s="5"/>
      <c r="Y69" s="14"/>
      <c r="Z69" s="5"/>
      <c r="AA69" s="5"/>
    </row>
    <row r="70" spans="1:27" ht="14.25" x14ac:dyDescent="0.2">
      <c r="A70" s="5"/>
      <c r="B70" s="109"/>
      <c r="C70" s="108"/>
      <c r="D70" s="3"/>
      <c r="E70" s="3"/>
      <c r="F70" s="6"/>
      <c r="G70" s="5"/>
      <c r="H70" s="14"/>
      <c r="I70" s="5"/>
      <c r="J70" s="5"/>
      <c r="K70" s="111"/>
      <c r="L70" s="111"/>
      <c r="M70" s="5"/>
      <c r="N70" s="14"/>
      <c r="O70" s="5"/>
      <c r="P70" s="14"/>
      <c r="Q70" s="6"/>
      <c r="R70" s="5"/>
      <c r="S70" s="5"/>
      <c r="T70" s="5"/>
      <c r="U70" s="5"/>
      <c r="V70" s="5"/>
      <c r="W70" s="14"/>
      <c r="X70" s="5"/>
      <c r="Y70" s="5"/>
      <c r="Z70" s="5"/>
      <c r="AA70" s="5"/>
    </row>
    <row r="71" spans="1:27" ht="14.25" x14ac:dyDescent="0.2">
      <c r="A71" s="5"/>
      <c r="B71" s="109"/>
      <c r="C71" s="108"/>
      <c r="D71" s="3"/>
      <c r="E71" s="3"/>
      <c r="F71" s="6"/>
      <c r="G71" s="5"/>
      <c r="H71" s="127"/>
      <c r="I71" s="128"/>
      <c r="J71" s="128"/>
      <c r="K71" s="129"/>
      <c r="L71" s="129"/>
      <c r="M71" s="128"/>
      <c r="N71" s="127"/>
      <c r="O71" s="128"/>
      <c r="P71" s="127"/>
      <c r="Q71" s="130"/>
      <c r="R71" s="128"/>
      <c r="S71" s="128"/>
      <c r="T71" s="128"/>
      <c r="U71" s="128"/>
      <c r="V71" s="128"/>
      <c r="W71" s="127"/>
      <c r="X71" s="128"/>
      <c r="Y71" s="128"/>
      <c r="Z71" s="128"/>
      <c r="AA71" s="128"/>
    </row>
    <row r="72" spans="1:27" ht="14.25" x14ac:dyDescent="0.2">
      <c r="A72" s="5"/>
      <c r="B72" s="109"/>
      <c r="C72" s="108"/>
      <c r="D72" s="3"/>
      <c r="E72" s="3"/>
      <c r="F72" s="6"/>
      <c r="G72" s="5"/>
      <c r="H72" s="127"/>
      <c r="I72" s="128"/>
      <c r="J72" s="127"/>
      <c r="K72" s="129"/>
      <c r="L72" s="129"/>
      <c r="M72" s="128"/>
      <c r="N72" s="127"/>
      <c r="O72" s="128"/>
      <c r="P72" s="127"/>
      <c r="Q72" s="130"/>
      <c r="R72" s="128"/>
      <c r="S72" s="128"/>
      <c r="T72" s="128"/>
      <c r="U72" s="128"/>
      <c r="V72" s="128"/>
      <c r="W72" s="127"/>
      <c r="X72" s="128"/>
      <c r="Y72" s="128"/>
      <c r="Z72" s="128"/>
      <c r="AA72" s="128"/>
    </row>
    <row r="73" spans="1:27" ht="14.25" x14ac:dyDescent="0.2">
      <c r="A73" s="5"/>
      <c r="B73" s="109"/>
      <c r="C73" s="108"/>
      <c r="D73" s="3"/>
      <c r="E73" s="3"/>
      <c r="F73" s="6"/>
      <c r="G73" s="3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3"/>
    </row>
    <row r="74" spans="1:27" ht="14.25" x14ac:dyDescent="0.2">
      <c r="A74" s="5"/>
      <c r="B74" s="109"/>
      <c r="C74" s="108"/>
      <c r="D74" s="3"/>
      <c r="E74" s="3"/>
      <c r="F74" s="6"/>
      <c r="G74" s="3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3"/>
    </row>
    <row r="75" spans="1:27" ht="14.25" x14ac:dyDescent="0.2">
      <c r="A75" s="5"/>
      <c r="B75" s="109"/>
      <c r="C75" s="108"/>
      <c r="D75" s="3"/>
      <c r="E75" s="3"/>
      <c r="F75" s="6"/>
      <c r="G75" s="5"/>
      <c r="H75" s="127"/>
      <c r="I75" s="128"/>
      <c r="J75" s="127"/>
      <c r="K75" s="129"/>
      <c r="L75" s="129"/>
      <c r="M75" s="128"/>
      <c r="N75" s="127"/>
      <c r="O75" s="128"/>
      <c r="P75" s="127"/>
      <c r="Q75" s="130"/>
      <c r="R75" s="128"/>
      <c r="S75" s="128"/>
      <c r="T75" s="128"/>
      <c r="U75" s="128"/>
      <c r="V75" s="128"/>
      <c r="W75" s="127"/>
      <c r="X75" s="128"/>
      <c r="Y75" s="128"/>
      <c r="Z75" s="128"/>
      <c r="AA75" s="128"/>
    </row>
    <row r="76" spans="1:27" ht="14.25" x14ac:dyDescent="0.2">
      <c r="A76" s="5"/>
      <c r="B76" s="109"/>
      <c r="C76" s="108"/>
      <c r="D76" s="3"/>
      <c r="E76" s="3"/>
      <c r="F76" s="6"/>
      <c r="G76" s="5"/>
      <c r="H76" s="127"/>
      <c r="I76" s="128"/>
      <c r="J76" s="127"/>
      <c r="K76" s="129"/>
      <c r="L76" s="129"/>
      <c r="M76" s="128"/>
      <c r="N76" s="127"/>
      <c r="O76" s="128"/>
      <c r="P76" s="127"/>
      <c r="Q76" s="130"/>
      <c r="R76" s="128"/>
      <c r="S76" s="128"/>
      <c r="T76" s="128"/>
      <c r="U76" s="128"/>
      <c r="V76" s="128"/>
      <c r="W76" s="127"/>
      <c r="X76" s="128"/>
      <c r="Y76" s="128"/>
      <c r="Z76" s="128"/>
      <c r="AA76" s="128"/>
    </row>
    <row r="77" spans="1:27" ht="14.25" x14ac:dyDescent="0.2">
      <c r="A77" s="5"/>
      <c r="B77" s="109"/>
      <c r="C77" s="108"/>
      <c r="D77" s="3"/>
      <c r="E77" s="3"/>
      <c r="F77" s="6"/>
      <c r="G77" s="5"/>
      <c r="H77" s="127"/>
      <c r="I77" s="128"/>
      <c r="J77" s="127"/>
      <c r="K77" s="129"/>
      <c r="L77" s="129"/>
      <c r="M77" s="128"/>
      <c r="N77" s="127"/>
      <c r="O77" s="128"/>
      <c r="P77" s="127"/>
      <c r="Q77" s="130"/>
      <c r="R77" s="128"/>
      <c r="S77" s="128"/>
      <c r="T77" s="128"/>
      <c r="U77" s="128"/>
      <c r="V77" s="128"/>
      <c r="W77" s="127"/>
      <c r="X77" s="128"/>
      <c r="Y77" s="128"/>
      <c r="Z77" s="128"/>
      <c r="AA77" s="128"/>
    </row>
    <row r="78" spans="1:27" ht="14.25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1:27" ht="14.25" x14ac:dyDescent="0.2">
      <c r="A79" s="3"/>
      <c r="B79" s="3"/>
      <c r="C79" s="3"/>
      <c r="D79" s="3"/>
      <c r="E79" s="3"/>
      <c r="F79" s="3"/>
      <c r="G79" s="3"/>
      <c r="H79" s="5"/>
      <c r="I79" s="5"/>
      <c r="J79" s="5"/>
      <c r="K79" s="5"/>
      <c r="L79" s="5"/>
      <c r="M79" s="5"/>
      <c r="N79" s="5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1:27" ht="14.25" x14ac:dyDescent="0.2">
      <c r="A80" s="3"/>
      <c r="B80" s="3"/>
      <c r="C80" s="3"/>
      <c r="D80" s="3"/>
      <c r="E80" s="3"/>
      <c r="F80" s="3"/>
      <c r="G80" s="3"/>
      <c r="H80" s="5"/>
      <c r="I80" s="5"/>
      <c r="J80" s="5"/>
      <c r="K80" s="5"/>
      <c r="L80" s="5"/>
      <c r="M80" s="5"/>
      <c r="N80" s="5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1:27" ht="14.25" x14ac:dyDescent="0.2">
      <c r="A81" s="3"/>
      <c r="B81" s="3"/>
      <c r="C81" s="3"/>
      <c r="D81" s="3"/>
      <c r="E81" s="3"/>
      <c r="F81" s="3"/>
      <c r="G81" s="3"/>
      <c r="H81" s="5"/>
      <c r="I81" s="5"/>
      <c r="J81" s="5"/>
      <c r="K81" s="5"/>
      <c r="L81" s="5"/>
      <c r="M81" s="5"/>
      <c r="N81" s="5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 spans="1:27" ht="14.25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1:27" ht="14.25" x14ac:dyDescent="0.2">
      <c r="A83" s="3"/>
      <c r="B83" s="3"/>
      <c r="C83" s="3"/>
      <c r="D83" s="3"/>
      <c r="E83" s="3"/>
      <c r="F83" s="3"/>
      <c r="G83" s="3"/>
      <c r="H83" s="5"/>
      <c r="I83" s="5"/>
      <c r="J83" s="5"/>
      <c r="K83" s="5"/>
      <c r="L83" s="5"/>
      <c r="M83" s="5"/>
      <c r="N83" s="5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 spans="1:27" ht="14.25" x14ac:dyDescent="0.2">
      <c r="A84" s="3"/>
      <c r="B84" s="3"/>
      <c r="C84" s="3"/>
      <c r="D84" s="3"/>
      <c r="E84" s="3"/>
      <c r="F84" s="3"/>
      <c r="G84" s="3"/>
      <c r="H84" s="5"/>
      <c r="I84" s="5"/>
      <c r="J84" s="5"/>
      <c r="K84" s="5"/>
      <c r="L84" s="5"/>
      <c r="M84" s="5"/>
      <c r="N84" s="5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 spans="1:27" ht="14.25" x14ac:dyDescent="0.2">
      <c r="A85" s="3"/>
      <c r="B85" s="3"/>
      <c r="C85" s="3"/>
      <c r="D85" s="3"/>
      <c r="E85" s="3"/>
      <c r="F85" s="3"/>
      <c r="G85" s="3"/>
      <c r="H85" s="5"/>
      <c r="I85" s="5"/>
      <c r="J85" s="5"/>
      <c r="K85" s="5"/>
      <c r="L85" s="5"/>
      <c r="M85" s="5"/>
      <c r="N85" s="5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 spans="1:27" ht="14.25" x14ac:dyDescent="0.2">
      <c r="A86" s="3"/>
      <c r="B86" s="3"/>
      <c r="C86" s="3"/>
      <c r="D86" s="3"/>
      <c r="E86" s="3"/>
      <c r="F86" s="3"/>
      <c r="G86" s="3"/>
      <c r="H86" s="5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 spans="1:27" ht="14.25" x14ac:dyDescent="0.2">
      <c r="A87" s="3"/>
      <c r="B87" s="3"/>
      <c r="C87" s="3"/>
      <c r="D87" s="3"/>
      <c r="E87" s="3"/>
      <c r="F87" s="3"/>
      <c r="G87" s="3"/>
      <c r="H87" s="5"/>
      <c r="I87" s="5"/>
      <c r="J87" s="5"/>
      <c r="K87" s="5"/>
      <c r="L87" s="5"/>
      <c r="M87" s="5"/>
      <c r="N87" s="5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 spans="1:27" ht="14.25" x14ac:dyDescent="0.2">
      <c r="A88" s="3"/>
      <c r="B88" s="3"/>
      <c r="C88" s="3"/>
      <c r="D88" s="3"/>
      <c r="E88" s="3"/>
      <c r="F88" s="3"/>
      <c r="G88" s="3"/>
      <c r="H88" s="5"/>
      <c r="I88" s="5"/>
      <c r="J88" s="5"/>
      <c r="K88" s="5"/>
      <c r="L88" s="5"/>
      <c r="M88" s="5"/>
      <c r="N88" s="5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 spans="1:27" ht="14.25" x14ac:dyDescent="0.2">
      <c r="A89" s="3"/>
      <c r="B89" s="3"/>
      <c r="C89" s="3"/>
      <c r="D89" s="3"/>
      <c r="E89" s="3"/>
      <c r="F89" s="3"/>
      <c r="G89" s="3"/>
      <c r="H89" s="5"/>
      <c r="I89" s="5"/>
      <c r="J89" s="5"/>
      <c r="K89" s="5"/>
      <c r="L89" s="5"/>
      <c r="M89" s="5"/>
      <c r="N89" s="5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 spans="1:27" ht="14.25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1:27" ht="14.25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 spans="1:27" ht="14.25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 spans="1:27" ht="14.25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 spans="1:27" ht="14.25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 spans="1:27" ht="14.25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1:27" ht="14.25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 spans="1:27" ht="14.25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 spans="1:27" ht="14.2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 spans="1:27" ht="14.2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 spans="1:27" ht="14.25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 spans="1:27" ht="14.2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 spans="1:27" ht="14.25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 spans="1:27" ht="14.2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 spans="1:27" ht="14.2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 spans="1:27" ht="14.25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 spans="1:27" ht="14.25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 spans="1:27" ht="14.25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 spans="1:27" ht="14.25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 spans="1:27" ht="14.25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 spans="1:27" ht="14.25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 spans="1:27" ht="14.25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 spans="1:27" ht="14.25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 spans="1:27" ht="14.25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 spans="1:27" ht="14.25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 spans="1:27" ht="14.25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 spans="1:27" ht="14.25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 spans="1:27" ht="14.25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 spans="1:27" ht="14.25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 spans="1:27" ht="14.25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 spans="1:27" ht="14.25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 spans="1:27" ht="14.25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 spans="1:27" ht="14.25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 spans="1:27" ht="14.25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 spans="1:27" ht="14.25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 spans="1:27" ht="14.25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 spans="1:27" ht="14.25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 spans="1:27" ht="14.25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 spans="1:27" ht="14.25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 spans="1:27" ht="14.25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 spans="1:27" ht="14.25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 spans="1:27" ht="14.25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 spans="1:27" ht="14.25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 spans="1:27" ht="14.25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 spans="1:27" ht="14.25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 spans="1:27" ht="14.25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 spans="1:27" ht="14.25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 spans="1:27" ht="14.25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 spans="1:27" ht="14.25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 spans="1:27" ht="14.25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 spans="1:27" ht="14.25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 spans="1:27" ht="14.25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 spans="1:27" ht="14.25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 spans="1:27" ht="14.25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 spans="1:27" ht="14.25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 spans="1:27" ht="14.25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 spans="1:27" ht="14.25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 spans="1:27" ht="14.25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 spans="1:27" ht="14.25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 spans="1:27" ht="14.25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 spans="1:27" ht="14.25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 spans="1:27" ht="14.25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 spans="1:27" ht="14.25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 spans="1:27" ht="14.25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 spans="1:27" ht="14.25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 spans="1:27" ht="14.25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 spans="1:27" ht="14.25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 spans="1:27" ht="14.25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 spans="1:27" ht="14.25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 spans="1:27" ht="14.25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 spans="1:27" ht="14.25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 spans="1:27" ht="14.25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 spans="1:27" ht="14.25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 spans="1:27" ht="14.25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 spans="1:27" ht="14.25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 spans="1:27" ht="14.25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 spans="1:27" ht="14.25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 spans="1:27" ht="14.25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 spans="1:27" ht="14.25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 spans="1:27" ht="14.25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 spans="1:27" ht="14.25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 spans="1:27" ht="14.25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 spans="1:27" ht="14.25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 spans="1:27" ht="14.25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 spans="1:27" ht="14.25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 spans="1:27" ht="14.25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 spans="1:27" ht="14.25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 spans="1:27" ht="14.25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 spans="1:27" ht="14.25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 spans="1:27" ht="14.25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 spans="1:27" ht="14.25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 spans="1:27" ht="14.25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 spans="1:27" ht="14.25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 spans="1:27" ht="14.25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 spans="1:27" ht="14.25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 spans="1:27" ht="14.25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 spans="1:27" ht="14.25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 spans="1:27" ht="14.25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 spans="1:27" ht="14.25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 spans="1:27" ht="14.25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 spans="1:27" ht="14.25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 spans="1:27" ht="14.25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 spans="1:27" ht="14.25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 spans="1:27" ht="14.25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 spans="1:27" ht="14.25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 spans="1:27" ht="14.25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 spans="1:27" ht="14.25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 spans="1:27" ht="14.25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 spans="1:27" ht="14.25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 spans="1:27" ht="14.25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 spans="1:27" ht="14.25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 spans="1:27" ht="14.25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 spans="1:27" ht="14.25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 spans="1:27" ht="14.25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 spans="1:27" ht="14.25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 spans="1:27" ht="14.25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 spans="1:27" ht="14.25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 spans="1:27" ht="14.25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 spans="1:27" ht="14.25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 spans="1:27" ht="14.25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 spans="1:27" ht="14.25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 spans="1:27" ht="14.25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 spans="1:27" ht="14.25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 spans="1:27" ht="14.25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 spans="1:27" ht="14.25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 spans="1:27" ht="14.25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 spans="1:27" ht="14.25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 spans="1:27" ht="14.25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 spans="1:27" ht="14.25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 spans="1:27" ht="14.25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 spans="1:27" ht="14.25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 spans="1:27" ht="14.25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 spans="1:27" ht="14.25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 spans="1:27" ht="14.25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 spans="1:27" ht="14.25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 spans="1:27" ht="14.25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 spans="1:27" ht="14.25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 spans="1:27" ht="14.25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 spans="1:27" ht="14.25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 spans="1:27" ht="14.25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 spans="1:27" ht="14.25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 spans="1:27" ht="14.25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 spans="1:27" ht="14.25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 spans="1:27" ht="14.25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 spans="1:27" ht="14.25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 spans="1:27" ht="14.25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 spans="1:27" ht="14.25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 spans="1:27" ht="14.25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 spans="1:27" ht="14.25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 spans="1:27" ht="14.25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 spans="1:27" ht="14.25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 spans="1:27" ht="14.25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 spans="1:27" ht="14.25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 spans="1:27" ht="14.25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 spans="1:27" ht="14.25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 spans="1:27" ht="14.25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 spans="1:27" ht="14.25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 spans="1:27" ht="14.25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 spans="1:27" ht="14.25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 spans="1:27" ht="14.25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 spans="1:27" ht="14.25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 spans="1:27" ht="14.25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 spans="1:27" ht="14.25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 spans="1:27" ht="14.25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 spans="1:27" ht="14.25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 spans="1:27" ht="14.25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 spans="1:27" ht="14.25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 spans="1:27" ht="14.25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 spans="1:27" ht="14.25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 spans="1:27" ht="14.25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 spans="1:27" ht="14.25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 spans="1:27" ht="14.25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 spans="1:27" ht="14.25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 spans="1:27" ht="14.25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 spans="1:27" ht="14.25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 spans="1:27" ht="14.25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 spans="1:27" ht="14.25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 spans="1:27" ht="14.25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 spans="1:27" ht="14.25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 spans="1:27" ht="14.25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 spans="1:27" ht="14.25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 spans="1:27" ht="14.25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 spans="1:27" ht="14.25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 spans="1:27" ht="14.25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 spans="1:27" ht="14.25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 spans="1:27" ht="14.25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 spans="1:27" ht="14.25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 spans="1:27" ht="14.25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 spans="1:27" ht="14.25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 spans="1:27" ht="14.25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 spans="1:27" ht="14.25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 spans="1:27" ht="14.25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 spans="1:27" ht="14.25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 spans="1:27" ht="14.25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 spans="1:27" ht="14.25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 spans="1:27" ht="14.25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 spans="1:27" ht="14.25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 spans="1:27" ht="14.25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 spans="1:27" ht="14.25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 spans="1:27" ht="14.25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 spans="1:27" ht="14.25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 spans="1:27" ht="14.25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 spans="1:27" ht="14.25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 spans="1:27" ht="14.25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 spans="1:27" ht="14.25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 spans="1:27" ht="14.25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 spans="1:27" ht="14.25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 spans="1:27" ht="14.25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 spans="1:27" ht="14.25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 spans="1:27" ht="14.25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 spans="1:27" ht="14.25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 spans="1:27" ht="14.25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 spans="1:27" ht="14.25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 spans="1:27" ht="14.25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 spans="1:27" ht="14.25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 spans="1:27" ht="14.25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 spans="1:27" ht="14.25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 spans="1:27" ht="14.25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 spans="1:27" ht="14.25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 spans="1:27" ht="14.25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 spans="1:27" ht="14.25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 spans="1:27" ht="14.25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 spans="1:27" ht="14.25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 spans="1:27" ht="14.25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 spans="1:27" ht="14.25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 spans="1:27" ht="14.25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 spans="1:27" ht="14.25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 spans="1:27" ht="14.25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 spans="1:27" ht="14.25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 spans="1:27" ht="14.25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 spans="1:27" ht="14.25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 spans="1:27" ht="14.25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 spans="1:27" ht="14.25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 spans="1:27" ht="14.25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 spans="1:27" ht="14.25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 spans="1:27" ht="14.25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 spans="1:27" ht="14.25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 spans="1:27" ht="14.25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 spans="1:27" ht="14.25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 spans="1:27" ht="14.25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 spans="1:27" ht="14.25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 spans="1:27" ht="14.25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 spans="1:27" ht="14.25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 spans="1:27" ht="14.25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 spans="1:27" ht="14.25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 spans="1:27" ht="14.25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 spans="1:27" ht="14.25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 spans="1:27" ht="14.25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 spans="1:27" ht="14.25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 spans="1:27" ht="14.25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 spans="1:27" ht="14.25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 spans="1:27" ht="14.25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 spans="1:27" ht="14.25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 spans="1:27" ht="14.25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 spans="1:27" ht="14.25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 spans="1:27" ht="14.25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 spans="1:27" ht="14.25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 spans="1:27" ht="14.25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 spans="1:27" ht="14.25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 spans="1:27" ht="14.25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 spans="1:27" ht="14.25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 spans="1:27" ht="14.25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 spans="1:27" ht="14.25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 spans="1:27" ht="14.25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 spans="1:27" ht="14.25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 spans="1:27" ht="14.25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 spans="1:27" ht="14.25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 spans="1:27" ht="14.25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 spans="1:27" ht="14.25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 spans="1:27" ht="14.25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 spans="1:27" ht="14.25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 spans="1:27" ht="14.25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 spans="1:27" ht="14.25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 spans="1:27" ht="14.25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 spans="1:27" ht="14.25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 spans="1:27" ht="14.25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 spans="1:27" ht="14.25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 spans="1:27" ht="14.25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 spans="1:27" ht="14.25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 spans="1:27" ht="14.25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 spans="1:27" ht="14.25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 spans="1:27" ht="14.25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 spans="1:27" ht="14.25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 spans="1:27" ht="14.25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 spans="1:27" ht="14.25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 spans="1:27" ht="14.25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 spans="1:27" ht="14.25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 spans="1:27" ht="14.25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 spans="1:27" ht="14.25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 spans="1:27" ht="14.25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 spans="1:27" ht="14.25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 spans="1:27" ht="14.25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 spans="1:27" ht="14.25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 spans="1:27" ht="14.25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 spans="1:27" ht="14.25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 spans="1:27" ht="14.25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 spans="1:27" ht="14.25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 spans="1:27" ht="14.25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 spans="1:27" ht="14.25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 spans="1:27" ht="14.25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 spans="1:27" ht="14.25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 spans="1:27" ht="14.25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 spans="1:27" ht="14.25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 spans="1:27" ht="14.25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 spans="1:27" ht="14.25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 spans="1:27" ht="14.25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 spans="1:27" ht="14.25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 spans="1:27" ht="14.25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 spans="1:27" ht="14.25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 spans="1:27" ht="14.25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 spans="1:27" ht="14.25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 spans="1:27" ht="14.25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 spans="1:27" ht="14.25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 spans="1:27" ht="14.25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 spans="1:27" ht="14.25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 spans="1:27" ht="14.25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 spans="1:27" ht="14.25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 spans="1:27" ht="14.25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 spans="1:27" ht="14.25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 spans="1:27" ht="14.25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 spans="1:27" ht="14.25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 spans="1:27" ht="14.25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 spans="1:27" ht="14.25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 spans="1:27" ht="14.25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 spans="1:27" ht="14.25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 spans="1:27" ht="14.25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 spans="1:27" ht="14.25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 spans="1:27" ht="14.25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 spans="1:27" ht="14.25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 spans="1:27" ht="14.25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 spans="1:27" ht="14.25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 spans="1:27" ht="14.25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 spans="1:27" ht="14.25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 spans="1:27" ht="14.25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 spans="1:27" ht="14.25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 spans="1:27" ht="14.25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 spans="1:27" ht="14.25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 spans="1:27" ht="14.25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 spans="1:27" ht="14.25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 spans="1:27" ht="14.25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 spans="1:27" ht="14.25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 spans="1:27" ht="14.25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 spans="1:27" ht="14.25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 spans="1:27" ht="14.25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 spans="1:27" ht="14.25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 spans="1:27" ht="14.25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 spans="1:27" ht="14.25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 spans="1:27" ht="14.25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 spans="1:27" ht="14.25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 spans="1:27" ht="14.25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 spans="1:27" ht="14.25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 spans="1:27" ht="14.25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 spans="1:27" ht="14.25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 spans="1:27" ht="14.25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 spans="1:27" ht="14.25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 spans="1:27" ht="14.25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 spans="1:27" ht="14.25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 spans="1:27" ht="14.25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 spans="1:27" ht="14.25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 spans="1:27" ht="14.25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 spans="1:27" ht="14.25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 spans="1:27" ht="14.25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 spans="1:27" ht="14.25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 spans="1:27" ht="14.25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 spans="1:27" ht="14.25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 spans="1:27" ht="14.25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 spans="1:27" ht="14.25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 spans="1:27" ht="14.25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 spans="1:27" ht="14.25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 spans="1:27" ht="14.25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 spans="1:27" ht="14.25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 spans="1:27" ht="14.25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 spans="1:27" ht="14.25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 spans="1:27" ht="14.25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 spans="1:27" ht="14.25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 spans="1:27" ht="14.25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 spans="1:27" ht="14.25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 spans="1:27" ht="14.25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 spans="1:27" ht="14.25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 spans="1:27" ht="14.25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 spans="1:27" ht="14.25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 spans="1:27" ht="14.25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 spans="1:27" ht="14.25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 spans="1:27" ht="14.25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 spans="1:27" ht="14.25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 spans="1:27" ht="14.25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 spans="1:27" ht="14.25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 spans="1:27" ht="14.25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 spans="1:27" ht="14.25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 spans="1:27" ht="14.25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 spans="1:27" ht="14.25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 spans="1:27" ht="14.25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 spans="1:27" ht="14.25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 spans="1:27" ht="14.25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 spans="1:27" ht="14.25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 spans="1:27" ht="14.25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 spans="1:27" ht="14.25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 spans="1:27" ht="14.25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 spans="1:27" ht="14.25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 spans="1:27" ht="14.25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 spans="1:27" ht="14.25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 spans="1:27" ht="14.25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 spans="1:27" ht="14.25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 spans="1:27" ht="14.25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 spans="1:27" ht="14.25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 spans="1:27" ht="14.25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 spans="1:27" ht="14.25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 spans="1:27" ht="14.25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 spans="1:27" ht="14.25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 spans="1:27" ht="14.25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 spans="1:27" ht="14.25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 spans="1:27" ht="14.25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 spans="1:27" ht="14.25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 spans="1:27" ht="14.25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 spans="1:27" ht="14.25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 spans="1:27" ht="14.25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 spans="1:27" ht="14.25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 spans="1:27" ht="14.25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 spans="1:27" ht="14.25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 spans="1:27" ht="14.25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 spans="1:27" ht="14.25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 spans="1:27" ht="14.25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 spans="1:27" ht="14.25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 spans="1:27" ht="14.25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 spans="1:27" ht="14.25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 spans="1:27" ht="14.25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 spans="1:27" ht="14.25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 spans="1:27" ht="14.25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 spans="1:27" ht="14.25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 spans="1:27" ht="14.25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 spans="1:27" ht="14.25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 spans="1:27" ht="14.25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 spans="1:27" ht="14.25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 spans="1:27" ht="14.25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 spans="1:27" ht="14.25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 spans="1:27" ht="14.25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 spans="1:27" ht="14.25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 spans="1:27" ht="14.25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 spans="1:27" ht="14.25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 spans="1:27" ht="14.25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 spans="1:27" ht="14.25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 spans="1:27" ht="14.25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 spans="1:27" ht="14.25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 spans="1:27" ht="14.25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 spans="1:27" ht="14.25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 spans="1:27" ht="14.25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 spans="1:27" ht="14.25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 spans="1:27" ht="14.25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 spans="1:27" ht="14.25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 spans="1:27" ht="14.25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 spans="1:27" ht="14.25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 spans="1:27" ht="14.25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 spans="1:27" ht="14.25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 spans="1:27" ht="14.25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 spans="1:27" ht="14.25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 spans="1:27" ht="14.25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 spans="1:27" ht="14.25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 spans="1:27" ht="14.25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 spans="1:27" ht="14.25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 spans="1:27" ht="14.25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 spans="1:27" ht="14.25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 spans="1:27" ht="14.25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 spans="1:27" ht="14.25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 spans="1:27" ht="14.25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 spans="1:27" ht="14.25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 spans="1:27" ht="14.25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 spans="1:27" ht="14.25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 spans="1:27" ht="14.25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 spans="1:27" ht="14.25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 spans="1:27" ht="14.25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 spans="1:27" ht="14.25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 spans="1:27" ht="14.25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 spans="1:27" ht="14.25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 spans="1:27" ht="14.25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 spans="1:27" ht="14.25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 spans="1:27" ht="14.25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 spans="1:27" ht="14.25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 spans="1:27" ht="14.25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 spans="1:27" ht="14.25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 spans="1:27" ht="14.25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 spans="1:27" ht="14.25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 spans="1:27" ht="14.25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 spans="1:27" ht="14.25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 spans="1:27" ht="14.25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 spans="1:27" ht="14.25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 spans="1:27" ht="14.25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 spans="1:27" ht="14.25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 spans="1:27" ht="14.25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 spans="1:27" ht="14.25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 spans="1:27" ht="14.25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 spans="1:27" ht="14.25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 spans="1:27" ht="14.25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 spans="1:27" ht="14.25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 spans="1:27" ht="14.25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 spans="1:27" ht="14.25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 spans="1:27" ht="14.25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 spans="1:27" ht="14.25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 spans="1:27" ht="14.25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 spans="1:27" ht="14.25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 spans="1:27" ht="14.25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 spans="1:27" ht="14.25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 spans="1:27" ht="14.25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 spans="1:27" ht="14.25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 spans="1:27" ht="14.25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 spans="1:27" ht="14.25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 spans="1:27" ht="14.25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 spans="1:27" ht="14.25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 spans="1:27" ht="14.25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 spans="1:27" ht="14.25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 spans="1:27" ht="14.25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 spans="1:27" ht="14.25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 spans="1:27" ht="14.25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 spans="1:27" ht="14.25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 spans="1:27" ht="14.25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 spans="1:27" ht="14.25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 spans="1:27" ht="14.25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 spans="1:27" ht="14.25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 spans="1:27" ht="14.25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 spans="1:27" ht="14.25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 spans="1:27" ht="14.25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 spans="1:27" ht="14.25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 spans="1:27" ht="14.25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 spans="1:27" ht="14.25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 spans="1:27" ht="14.25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 spans="1:27" ht="14.25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 spans="1:27" ht="14.25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 spans="1:27" ht="14.25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 spans="1:27" ht="14.25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 spans="1:27" ht="14.25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 spans="1:27" ht="14.25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 spans="1:27" ht="14.25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 spans="1:27" ht="14.25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 spans="1:27" ht="14.25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 spans="1:27" ht="14.25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 spans="1:27" ht="14.25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 spans="1:27" ht="14.25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 spans="1:27" ht="14.25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 spans="1:27" ht="14.25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 spans="1:27" ht="14.25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 spans="1:27" ht="14.25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 spans="1:27" ht="14.25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 spans="1:27" ht="14.25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 spans="1:27" ht="14.25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 spans="1:27" ht="14.25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 spans="1:27" ht="14.25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 spans="1:27" ht="14.25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 spans="1:27" ht="14.25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 spans="1:27" ht="14.25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 spans="1:27" ht="14.25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 spans="1:27" ht="14.25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 spans="1:27" ht="14.25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 spans="1:27" ht="14.25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 spans="1:27" ht="14.25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 spans="1:27" ht="14.25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 spans="1:27" ht="14.25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 spans="1:27" ht="14.25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 spans="1:27" ht="14.25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 spans="1:27" ht="14.25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 spans="1:27" ht="14.25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 spans="1:27" ht="14.25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 spans="1:27" ht="14.25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 spans="1:27" ht="14.25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 spans="1:27" ht="14.25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 spans="1:27" ht="14.25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 spans="1:27" ht="14.25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 spans="1:27" ht="14.25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 spans="1:27" ht="14.25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 spans="1:27" ht="14.25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 spans="1:27" ht="14.25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 spans="1:27" ht="14.25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 spans="1:27" ht="14.25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 spans="1:27" ht="14.25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 spans="1:27" ht="14.25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 spans="1:27" ht="14.25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 spans="1:27" ht="14.25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 spans="1:27" ht="14.25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 spans="1:27" ht="14.25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 spans="1:27" ht="14.25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 spans="1:27" ht="14.25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 spans="1:27" ht="14.25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 spans="1:27" ht="14.25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 spans="1:27" ht="14.25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 spans="1:27" ht="14.25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 spans="1:27" ht="14.25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 spans="1:27" ht="14.25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 spans="1:27" ht="14.25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 spans="1:27" ht="14.25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 spans="1:27" ht="14.25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 spans="1:27" ht="14.25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 spans="1:27" ht="14.25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 spans="1:27" ht="14.25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 spans="1:27" ht="14.25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 spans="1:27" ht="14.25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 spans="1:27" ht="14.25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 spans="1:27" ht="14.25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 spans="1:27" ht="14.25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 spans="1:27" ht="14.25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 spans="1:27" ht="14.25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 spans="1:27" ht="14.25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 spans="1:27" ht="14.25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 spans="1:27" ht="14.25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 spans="1:27" ht="14.25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 spans="1:27" ht="14.25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 spans="1:27" ht="14.25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 spans="1:27" ht="14.25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 spans="1:27" ht="14.25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 spans="1:27" ht="14.25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 spans="1:27" ht="14.25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 spans="1:27" ht="14.25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 spans="1:27" ht="14.25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 spans="1:27" ht="14.25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 spans="1:27" ht="14.25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 spans="1:27" ht="14.25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 spans="1:27" ht="14.25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 spans="1:27" ht="14.25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 spans="1:27" ht="14.25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 spans="1:27" ht="14.25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 spans="1:27" ht="14.25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 spans="1:27" ht="14.25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 spans="1:27" ht="14.25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 spans="1:27" ht="14.25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 spans="1:27" ht="14.25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 spans="1:27" ht="14.25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 spans="1:27" ht="14.25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 spans="1:27" ht="14.25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 spans="1:27" ht="14.25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 spans="1:27" ht="14.25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 spans="1:27" ht="14.25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 spans="1:27" ht="14.25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 spans="1:27" ht="14.25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 spans="1:27" ht="14.25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 spans="1:27" ht="14.25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 spans="1:27" ht="14.25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 spans="1:27" ht="14.25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 spans="1:27" ht="14.25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 spans="1:27" ht="14.25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 spans="1:27" ht="14.25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 spans="1:27" ht="14.25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 spans="1:27" ht="14.25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 spans="1:27" ht="14.25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 spans="1:27" ht="14.25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 spans="1:27" ht="14.25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 spans="1:27" ht="14.25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 spans="1:27" ht="14.25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 spans="1:27" ht="14.25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 spans="1:27" ht="14.25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 spans="1:27" ht="14.25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 spans="1:27" ht="14.25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 spans="1:27" ht="14.25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 spans="1:27" ht="14.25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 spans="1:27" ht="14.25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 spans="1:27" ht="14.25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 spans="1:27" ht="14.25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 spans="1:27" ht="14.25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 spans="1:27" ht="14.25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 spans="1:27" ht="14.25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 spans="1:27" ht="14.25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 spans="1:27" ht="14.25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 spans="1:27" ht="14.25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 spans="1:27" ht="14.25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 spans="1:27" ht="14.25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 spans="1:27" ht="14.25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 spans="1:27" ht="14.25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 spans="1:27" ht="14.25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 spans="1:27" ht="14.25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 spans="1:27" ht="14.25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 spans="1:27" ht="14.25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 spans="1:27" ht="14.25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 spans="1:27" ht="14.25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 spans="1:27" ht="14.25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 spans="1:27" ht="14.25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 spans="1:27" ht="14.25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 spans="1:27" ht="14.25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 spans="1:27" ht="14.25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 spans="1:27" ht="14.25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 spans="1:27" ht="14.25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 spans="1:27" ht="14.25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 spans="1:27" ht="14.25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 spans="1:27" ht="14.25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 spans="1:27" ht="14.25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 spans="1:27" ht="14.25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 spans="1:27" ht="14.25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 spans="1:27" ht="14.25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 spans="1:27" ht="14.25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 spans="1:27" ht="14.25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 spans="1:27" ht="14.25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 spans="1:27" ht="14.25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 spans="1:27" ht="14.25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 spans="1:27" ht="14.25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 spans="1:27" ht="14.25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 spans="1:27" ht="14.25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 spans="1:27" ht="14.25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 spans="1:27" ht="14.25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 spans="1:27" ht="14.25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 spans="1:27" ht="14.25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 spans="1:27" ht="14.25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 spans="1:27" ht="14.25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 spans="1:27" ht="14.25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 spans="1:27" ht="14.25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 spans="1:27" ht="14.25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 spans="1:27" ht="14.25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 spans="1:27" ht="14.25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 spans="1:27" ht="14.25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 spans="1:27" ht="14.25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 spans="1:27" ht="14.25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 spans="1:27" ht="14.25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 spans="1:27" ht="14.25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 spans="1:27" ht="14.25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 spans="1:27" ht="14.25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 spans="1:27" ht="14.25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 spans="1:27" ht="14.25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 spans="1:27" ht="14.25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 spans="1:27" ht="14.25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 spans="1:27" ht="14.25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 spans="1:27" ht="14.25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 spans="1:27" ht="14.25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 spans="1:27" ht="14.25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 spans="1:27" ht="14.25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 spans="1:27" ht="14.25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 spans="1:27" ht="14.25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 spans="1:27" ht="14.25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 spans="1:27" ht="14.25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 spans="1:27" ht="14.25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 spans="1:27" ht="14.25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 spans="1:27" ht="14.25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 spans="1:27" ht="14.25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 spans="1:27" ht="14.25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 spans="1:27" ht="14.25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 spans="1:27" ht="14.25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 spans="1:27" ht="14.25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 spans="1:27" ht="14.25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 spans="1:27" ht="14.25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 spans="1:27" ht="14.25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 spans="1:27" ht="14.25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 spans="1:27" ht="14.25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 spans="1:27" ht="14.25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 spans="1:27" ht="14.25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 spans="1:27" ht="14.25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 spans="1:27" ht="14.25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 spans="1:27" ht="14.25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 spans="1:27" ht="14.25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 spans="1:27" ht="14.25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 spans="1:27" ht="14.25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 spans="1:27" ht="14.25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 spans="1:27" ht="14.25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 spans="1:27" ht="14.25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 spans="1:27" ht="14.25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 spans="1:27" ht="14.25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 spans="1:27" ht="14.25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 spans="1:27" ht="14.25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 spans="1:27" ht="14.25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 spans="1:27" ht="14.25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 spans="1:27" ht="14.25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 spans="1:27" ht="14.25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 spans="1:27" ht="14.25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 spans="1:27" ht="14.25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 spans="1:27" ht="14.25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 spans="1:27" ht="14.25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 spans="1:27" ht="14.25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 spans="1:27" ht="14.25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 spans="1:27" ht="14.25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 spans="1:27" ht="14.25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 spans="1:27" ht="14.25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 spans="1:27" ht="14.25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 spans="1:27" ht="14.25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 spans="1:27" ht="14.25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 spans="1:27" ht="14.25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 spans="1:27" ht="14.25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 spans="1:27" ht="14.25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 spans="1:27" ht="14.25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 spans="1:27" ht="14.25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 spans="1:27" ht="14.25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 spans="1:27" ht="14.25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 spans="1:27" ht="14.25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 spans="1:27" ht="14.25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 spans="1:27" ht="14.25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 spans="1:27" ht="14.25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 spans="1:27" ht="14.25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 spans="1:27" ht="14.25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 spans="1:27" ht="14.25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 spans="1:27" ht="14.25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 spans="1:27" ht="14.25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 spans="1:27" ht="14.25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 spans="1:27" ht="14.25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 spans="1:27" ht="14.25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 spans="1:27" ht="14.25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 spans="1:27" ht="14.25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 spans="1:27" ht="14.25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 spans="1:27" ht="14.25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 spans="1:27" ht="14.25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 spans="1:27" ht="14.25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 spans="1:27" ht="14.25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 spans="1:27" ht="14.25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 spans="1:27" ht="14.25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 spans="1:27" ht="14.25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 spans="1:27" ht="14.25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 spans="1:27" ht="14.25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 spans="1:27" ht="14.25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 spans="1:27" ht="14.25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 spans="1:27" ht="14.25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 spans="1:27" ht="14.25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 spans="1:27" ht="14.25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 spans="1:27" ht="14.25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 spans="1:27" ht="14.25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 spans="1:27" ht="14.25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 spans="1:27" ht="14.25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 spans="1:27" ht="14.25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 spans="1:27" ht="14.25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 spans="1:27" ht="14.25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 spans="1:27" ht="14.25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 spans="1:27" ht="14.25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 spans="1:27" ht="14.25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 spans="1:27" ht="14.25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 spans="1:27" ht="14.25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 spans="1:27" ht="14.25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 spans="1:27" ht="14.25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 spans="1:27" ht="14.25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 spans="1:27" ht="14.25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 spans="1:27" ht="14.25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 spans="1:27" ht="14.25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 spans="1:27" ht="14.25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 spans="1:27" ht="14.25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 spans="1:27" ht="14.25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 spans="1:27" ht="14.25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 spans="1:27" ht="14.25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 spans="1:27" ht="14.25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 spans="1:27" ht="14.25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 spans="1:27" ht="14.25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 spans="1:27" ht="14.25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 spans="1:27" ht="14.25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 spans="1:27" ht="14.25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 spans="1:27" ht="14.25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 spans="1:27" ht="14.25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 spans="1:27" ht="14.25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 spans="1:27" ht="14.25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 spans="1:27" ht="14.25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 spans="1:27" ht="14.25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 spans="1:27" ht="14.25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 spans="1:27" ht="14.25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 spans="1:27" ht="14.25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 spans="1:27" ht="14.25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 spans="1:27" ht="14.25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 spans="1:27" ht="14.25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 spans="1:27" ht="14.25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 spans="1:27" ht="14.25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 spans="1:27" ht="14.25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 spans="1:27" ht="14.25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 spans="1:27" ht="14.25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 spans="1:27" ht="14.25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 spans="1:27" ht="14.25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 spans="1:27" ht="14.25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 spans="1:27" ht="14.25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 spans="1:27" ht="14.25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 spans="1:27" ht="14.25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 spans="1:27" ht="14.25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 spans="1:27" ht="14.25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 spans="1:27" ht="14.25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 spans="1:27" ht="14.25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 spans="1:27" ht="14.25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 spans="1:27" ht="14.25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 spans="1:27" ht="14.25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 spans="1:27" ht="14.25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 spans="1:27" ht="14.25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 spans="1:27" ht="14.25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 spans="1:27" ht="14.25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 spans="1:27" ht="14.25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 spans="1:27" ht="14.25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 spans="1:27" ht="14.25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 spans="1:27" ht="14.25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 spans="1:27" ht="14.25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 spans="1:27" ht="14.25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 spans="1:27" ht="14.25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 spans="1:27" ht="14.25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 spans="1:27" ht="14.25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 spans="1:27" ht="14.25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 spans="1:27" ht="14.25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 spans="1:27" ht="14.25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 spans="1:27" ht="14.25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 spans="1:27" ht="14.25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 spans="1:27" ht="14.25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 spans="1:27" ht="14.25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 spans="1:27" ht="14.25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 spans="1:27" ht="14.25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 spans="1:27" ht="14.25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 spans="1:27" ht="14.25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 spans="1:27" ht="14.25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 spans="1:27" ht="14.25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 spans="1:27" ht="14.25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 spans="1:27" ht="14.25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 spans="1:27" ht="14.25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 spans="1:27" ht="14.25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 spans="1:27" ht="14.25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 spans="1:27" ht="14.25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 spans="1:27" ht="14.25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 spans="1:27" ht="14.25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 spans="1:27" ht="14.25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 spans="1:27" ht="14.25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 spans="1:27" ht="14.25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 spans="1:27" ht="14.25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 spans="1:27" ht="14.25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 spans="1:27" ht="14.25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 spans="1:27" ht="14.25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 spans="1:27" ht="14.25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 spans="1:27" ht="14.25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 spans="1:27" ht="14.25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 spans="1:27" ht="14.25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 spans="1:27" ht="14.25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 spans="1:27" ht="14.25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 spans="1:27" ht="14.25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 spans="1:27" ht="14.25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 spans="1:27" ht="14.25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 spans="1:27" ht="14.25" x14ac:dyDescent="0.2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  <row r="1002" spans="1:27" ht="14.25" x14ac:dyDescent="0.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</row>
    <row r="1003" spans="1:27" ht="14.25" x14ac:dyDescent="0.2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</row>
    <row r="1004" spans="1:27" ht="14.25" x14ac:dyDescent="0.2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</row>
    <row r="1005" spans="1:27" ht="14.25" x14ac:dyDescent="0.2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</row>
    <row r="1006" spans="1:27" ht="14.25" x14ac:dyDescent="0.2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</row>
    <row r="1007" spans="1:27" ht="14.25" x14ac:dyDescent="0.2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</row>
    <row r="1008" spans="1:27" ht="14.25" x14ac:dyDescent="0.2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  <c r="AA1008" s="3"/>
    </row>
    <row r="1009" spans="1:27" ht="14.25" x14ac:dyDescent="0.2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  <c r="AA1009" s="3"/>
    </row>
    <row r="1010" spans="1:27" ht="14.25" x14ac:dyDescent="0.2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</row>
    <row r="1011" spans="1:27" ht="14.25" x14ac:dyDescent="0.2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</row>
    <row r="1012" spans="1:27" ht="14.25" x14ac:dyDescent="0.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</row>
    <row r="1013" spans="1:27" ht="14.25" x14ac:dyDescent="0.2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</row>
    <row r="1014" spans="1:27" ht="14.25" x14ac:dyDescent="0.2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</row>
    <row r="1015" spans="1:27" ht="14.25" x14ac:dyDescent="0.2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</row>
    <row r="1016" spans="1:27" ht="14.25" x14ac:dyDescent="0.2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</row>
    <row r="1017" spans="1:27" ht="14.25" x14ac:dyDescent="0.2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</row>
    <row r="1018" spans="1:27" ht="14.25" x14ac:dyDescent="0.2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</row>
    <row r="1019" spans="1:27" ht="14.25" x14ac:dyDescent="0.2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</row>
    <row r="1020" spans="1:27" ht="14.25" x14ac:dyDescent="0.2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</row>
    <row r="1021" spans="1:27" ht="14.25" x14ac:dyDescent="0.2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</row>
    <row r="1022" spans="1:27" ht="14.25" x14ac:dyDescent="0.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</row>
    <row r="1023" spans="1:27" ht="14.25" x14ac:dyDescent="0.2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</row>
    <row r="1024" spans="1:27" ht="14.25" x14ac:dyDescent="0.2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  <c r="AA1024" s="3"/>
    </row>
    <row r="1025" spans="1:27" ht="14.25" x14ac:dyDescent="0.2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  <c r="AA1025" s="3"/>
    </row>
    <row r="1026" spans="1:27" ht="14.25" x14ac:dyDescent="0.2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</row>
    <row r="1027" spans="1:27" ht="14.25" x14ac:dyDescent="0.2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</row>
    <row r="1028" spans="1:27" ht="14.25" x14ac:dyDescent="0.2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</row>
    <row r="1029" spans="1:27" ht="14.25" x14ac:dyDescent="0.2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</row>
    <row r="1030" spans="1:27" ht="14.25" x14ac:dyDescent="0.2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</row>
    <row r="1031" spans="1:27" ht="14.25" x14ac:dyDescent="0.2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</row>
    <row r="1032" spans="1:27" ht="14.25" x14ac:dyDescent="0.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</row>
    <row r="1033" spans="1:27" ht="14.25" x14ac:dyDescent="0.2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</row>
    <row r="1034" spans="1:27" ht="14.25" x14ac:dyDescent="0.2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</row>
    <row r="1035" spans="1:27" ht="14.25" x14ac:dyDescent="0.2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</row>
    <row r="1036" spans="1:27" ht="14.25" x14ac:dyDescent="0.2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</row>
    <row r="1037" spans="1:27" ht="14.25" x14ac:dyDescent="0.2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</row>
    <row r="1038" spans="1:27" ht="14.25" x14ac:dyDescent="0.2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</row>
    <row r="1039" spans="1:27" ht="14.25" x14ac:dyDescent="0.2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</row>
    <row r="1040" spans="1:27" ht="14.25" x14ac:dyDescent="0.2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  <c r="AA1040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Y48"/>
  <sheetViews>
    <sheetView workbookViewId="0"/>
  </sheetViews>
  <sheetFormatPr defaultColWidth="12.5703125" defaultRowHeight="15.75" customHeight="1" x14ac:dyDescent="0.2"/>
  <cols>
    <col min="2" max="2" width="23" customWidth="1"/>
    <col min="3" max="8" width="16.42578125" customWidth="1"/>
  </cols>
  <sheetData>
    <row r="2" spans="1:25" x14ac:dyDescent="0.2">
      <c r="C2" s="130"/>
      <c r="D2" s="130"/>
      <c r="E2" s="130"/>
      <c r="F2" s="130"/>
      <c r="G2" s="130"/>
      <c r="H2" s="130"/>
    </row>
    <row r="3" spans="1:25" x14ac:dyDescent="0.2">
      <c r="C3" s="128" t="s">
        <v>105</v>
      </c>
      <c r="D3" s="130"/>
      <c r="E3" s="130"/>
      <c r="F3" s="130"/>
      <c r="G3" s="130"/>
      <c r="H3" s="130"/>
    </row>
    <row r="4" spans="1:25" x14ac:dyDescent="0.2">
      <c r="B4" s="131"/>
      <c r="C4" s="127"/>
      <c r="D4" s="127"/>
      <c r="E4" s="127"/>
      <c r="F4" s="127"/>
      <c r="G4" s="127"/>
      <c r="H4" s="127"/>
      <c r="L4" s="127"/>
      <c r="M4" s="127"/>
      <c r="N4" s="127"/>
      <c r="O4" s="127"/>
    </row>
    <row r="5" spans="1:25" x14ac:dyDescent="0.2">
      <c r="A5" s="127"/>
      <c r="B5" s="132" t="s">
        <v>5</v>
      </c>
      <c r="C5" s="133" t="s">
        <v>106</v>
      </c>
      <c r="J5" s="127"/>
      <c r="K5" s="127"/>
      <c r="L5" s="127"/>
      <c r="M5" s="127"/>
      <c r="N5" s="127"/>
      <c r="O5" s="127"/>
      <c r="P5" s="127"/>
      <c r="Q5" s="129"/>
      <c r="R5" s="129"/>
    </row>
    <row r="6" spans="1:25" x14ac:dyDescent="0.2">
      <c r="B6" s="134" t="s">
        <v>8</v>
      </c>
      <c r="C6" s="135" t="s">
        <v>107</v>
      </c>
      <c r="D6" s="127"/>
      <c r="E6" s="127"/>
      <c r="F6" s="127"/>
      <c r="G6" s="127"/>
      <c r="H6" s="127"/>
      <c r="I6" s="130"/>
      <c r="J6" s="130"/>
      <c r="K6" s="130"/>
      <c r="L6" s="130"/>
      <c r="M6" s="130"/>
      <c r="N6" s="130"/>
      <c r="O6" s="130"/>
      <c r="P6" s="127"/>
      <c r="Q6" s="127"/>
      <c r="R6" s="127"/>
      <c r="S6" s="127"/>
      <c r="T6" s="127"/>
      <c r="U6" s="127"/>
      <c r="V6" s="127"/>
      <c r="W6" s="127"/>
      <c r="X6" s="127"/>
      <c r="Y6" s="127"/>
    </row>
    <row r="7" spans="1:25" x14ac:dyDescent="0.2">
      <c r="B7" s="131" t="s">
        <v>9</v>
      </c>
      <c r="C7" s="136" t="s">
        <v>108</v>
      </c>
      <c r="L7" s="129"/>
      <c r="M7" s="129"/>
      <c r="N7" s="129"/>
      <c r="O7" s="129"/>
    </row>
    <row r="8" spans="1:25" x14ac:dyDescent="0.2">
      <c r="B8" s="131" t="s">
        <v>10</v>
      </c>
      <c r="L8" s="129"/>
      <c r="M8" s="129"/>
      <c r="N8" s="129"/>
      <c r="O8" s="129"/>
    </row>
    <row r="9" spans="1:25" x14ac:dyDescent="0.2">
      <c r="B9" s="131" t="s">
        <v>11</v>
      </c>
      <c r="C9" s="129"/>
      <c r="D9" s="129"/>
      <c r="E9" s="129"/>
      <c r="F9" s="129"/>
      <c r="G9" s="129"/>
      <c r="H9" s="129"/>
    </row>
    <row r="10" spans="1:25" x14ac:dyDescent="0.2">
      <c r="B10" s="132"/>
      <c r="C10" s="129"/>
      <c r="D10" s="129"/>
      <c r="E10" s="129"/>
      <c r="F10" s="129"/>
      <c r="G10" s="129"/>
      <c r="H10" s="129"/>
      <c r="L10" s="127"/>
      <c r="M10" s="127"/>
      <c r="N10" s="127"/>
      <c r="O10" s="127"/>
    </row>
    <row r="11" spans="1:25" x14ac:dyDescent="0.2">
      <c r="B11" s="132" t="s">
        <v>5</v>
      </c>
      <c r="C11" s="130" t="s">
        <v>109</v>
      </c>
      <c r="D11" s="130"/>
      <c r="E11" s="130"/>
      <c r="F11" s="130"/>
      <c r="G11" s="130"/>
    </row>
    <row r="12" spans="1:25" x14ac:dyDescent="0.2">
      <c r="B12" s="134" t="s">
        <v>8</v>
      </c>
      <c r="C12" s="127" t="s">
        <v>110</v>
      </c>
      <c r="D12" s="127"/>
      <c r="E12" s="127"/>
      <c r="F12" s="127"/>
      <c r="L12" s="127"/>
      <c r="M12" s="127"/>
      <c r="N12" s="127"/>
      <c r="O12" s="127"/>
    </row>
    <row r="13" spans="1:25" x14ac:dyDescent="0.2">
      <c r="B13" s="131" t="s">
        <v>9</v>
      </c>
      <c r="C13" s="128" t="s">
        <v>111</v>
      </c>
      <c r="L13" s="130"/>
      <c r="M13" s="130"/>
      <c r="N13" s="130"/>
      <c r="O13" s="130"/>
    </row>
    <row r="14" spans="1:25" x14ac:dyDescent="0.2">
      <c r="B14" s="131"/>
      <c r="C14" s="137"/>
      <c r="D14" s="138"/>
      <c r="E14" s="137"/>
      <c r="F14" s="137"/>
      <c r="G14" s="137"/>
      <c r="H14" s="137"/>
    </row>
    <row r="15" spans="1:25" x14ac:dyDescent="0.2">
      <c r="B15" s="131"/>
      <c r="C15" s="132"/>
      <c r="D15" s="134"/>
      <c r="E15" s="134"/>
      <c r="F15" s="134"/>
      <c r="G15" s="134"/>
      <c r="H15" s="132"/>
    </row>
    <row r="16" spans="1:25" x14ac:dyDescent="0.2">
      <c r="B16" s="131"/>
      <c r="C16" s="127"/>
      <c r="D16" s="130"/>
      <c r="H16" s="127"/>
    </row>
    <row r="17" spans="2:8" x14ac:dyDescent="0.2">
      <c r="B17" s="131"/>
      <c r="C17" s="127"/>
      <c r="D17" s="130"/>
      <c r="H17" s="127"/>
    </row>
    <row r="18" spans="2:8" x14ac:dyDescent="0.2">
      <c r="B18" s="131"/>
      <c r="C18" s="127"/>
      <c r="D18" s="130"/>
      <c r="H18" s="127"/>
    </row>
    <row r="19" spans="2:8" x14ac:dyDescent="0.2">
      <c r="B19" s="139"/>
      <c r="C19" s="127"/>
      <c r="D19" s="130"/>
      <c r="E19" s="130"/>
      <c r="F19" s="130">
        <v>23000</v>
      </c>
      <c r="G19" s="130"/>
      <c r="H19" s="127"/>
    </row>
    <row r="20" spans="2:8" x14ac:dyDescent="0.2">
      <c r="B20" s="139"/>
      <c r="C20" s="130"/>
      <c r="D20" s="130"/>
      <c r="E20" s="130"/>
      <c r="F20" s="130">
        <v>2.38</v>
      </c>
      <c r="G20" s="130"/>
      <c r="H20" s="130"/>
    </row>
    <row r="21" spans="2:8" x14ac:dyDescent="0.2">
      <c r="B21" s="140"/>
      <c r="C21" s="127"/>
      <c r="F21" s="127">
        <v>1828</v>
      </c>
      <c r="H21" s="127"/>
    </row>
    <row r="22" spans="2:8" x14ac:dyDescent="0.2">
      <c r="C22" s="129"/>
      <c r="D22" s="130"/>
      <c r="E22" s="130"/>
      <c r="F22" s="129">
        <v>7.9500000000000001E-2</v>
      </c>
      <c r="G22" s="130"/>
    </row>
    <row r="23" spans="2:8" x14ac:dyDescent="0.2">
      <c r="C23" s="129"/>
      <c r="D23" s="130"/>
      <c r="E23" s="130"/>
      <c r="F23" s="129">
        <v>0.92049999999999998</v>
      </c>
      <c r="G23" s="130"/>
      <c r="H23" s="127"/>
    </row>
    <row r="24" spans="2:8" x14ac:dyDescent="0.2">
      <c r="F24" s="128">
        <v>32</v>
      </c>
      <c r="H24" s="129"/>
    </row>
    <row r="25" spans="2:8" x14ac:dyDescent="0.2">
      <c r="C25" s="127"/>
      <c r="F25" s="127">
        <v>1478</v>
      </c>
      <c r="H25" s="129"/>
    </row>
    <row r="26" spans="2:8" x14ac:dyDescent="0.2">
      <c r="F26" s="128">
        <v>1.62</v>
      </c>
    </row>
    <row r="27" spans="2:8" x14ac:dyDescent="0.2">
      <c r="C27" s="127"/>
      <c r="F27" s="127">
        <v>21172</v>
      </c>
      <c r="H27" s="127"/>
    </row>
    <row r="28" spans="2:8" x14ac:dyDescent="0.2">
      <c r="B28" s="131"/>
      <c r="C28" s="130"/>
      <c r="F28" s="130">
        <v>45721.5</v>
      </c>
    </row>
    <row r="29" spans="2:8" x14ac:dyDescent="0.2">
      <c r="B29" s="131"/>
      <c r="F29" s="128">
        <v>2.16</v>
      </c>
      <c r="H29" s="127"/>
    </row>
    <row r="30" spans="2:8" x14ac:dyDescent="0.2">
      <c r="B30" s="131"/>
      <c r="F30" s="128">
        <v>12.88</v>
      </c>
      <c r="H30" s="130"/>
    </row>
    <row r="31" spans="2:8" x14ac:dyDescent="0.2">
      <c r="B31" s="131"/>
      <c r="F31" s="128">
        <v>12.9</v>
      </c>
    </row>
    <row r="32" spans="2:8" x14ac:dyDescent="0.2">
      <c r="B32" s="131"/>
      <c r="F32" s="128">
        <v>-0.02</v>
      </c>
    </row>
    <row r="33" spans="2:22" x14ac:dyDescent="0.2">
      <c r="B33" s="131"/>
      <c r="F33" s="128">
        <v>5.97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</row>
    <row r="34" spans="2:22" x14ac:dyDescent="0.2">
      <c r="B34" s="131"/>
      <c r="F34" s="128">
        <v>5.97</v>
      </c>
      <c r="I34" s="134"/>
      <c r="J34" s="131"/>
      <c r="K34" s="131"/>
      <c r="L34" s="131"/>
      <c r="M34" s="131"/>
      <c r="N34" s="131"/>
      <c r="O34" s="131"/>
      <c r="P34" s="131"/>
      <c r="Q34" s="139"/>
      <c r="R34" s="139"/>
      <c r="S34" s="140"/>
    </row>
    <row r="35" spans="2:22" x14ac:dyDescent="0.2">
      <c r="B35" s="131"/>
      <c r="F35" s="128">
        <v>-0.01</v>
      </c>
      <c r="I35" s="130"/>
    </row>
    <row r="36" spans="2:22" x14ac:dyDescent="0.2">
      <c r="B36" s="131"/>
      <c r="C36" s="127"/>
      <c r="D36" s="130"/>
      <c r="E36" s="129"/>
      <c r="F36" s="128">
        <v>-0.02</v>
      </c>
      <c r="H36" s="127"/>
      <c r="I36" s="130"/>
    </row>
    <row r="37" spans="2:22" x14ac:dyDescent="0.2">
      <c r="B37" s="131"/>
      <c r="F37" s="128">
        <v>384</v>
      </c>
      <c r="I37" s="130"/>
    </row>
    <row r="38" spans="2:22" x14ac:dyDescent="0.2">
      <c r="B38" s="131"/>
      <c r="F38" s="128" t="s">
        <v>96</v>
      </c>
      <c r="I38" s="130"/>
    </row>
    <row r="39" spans="2:22" x14ac:dyDescent="0.2">
      <c r="B39" s="131"/>
      <c r="I39" s="130"/>
    </row>
    <row r="40" spans="2:22" x14ac:dyDescent="0.2">
      <c r="B40" s="131"/>
    </row>
    <row r="41" spans="2:22" x14ac:dyDescent="0.2">
      <c r="B41" s="131"/>
    </row>
    <row r="42" spans="2:22" x14ac:dyDescent="0.2">
      <c r="B42" s="131"/>
    </row>
    <row r="43" spans="2:22" x14ac:dyDescent="0.2">
      <c r="B43" s="131"/>
    </row>
    <row r="44" spans="2:22" x14ac:dyDescent="0.2">
      <c r="B44" s="139"/>
    </row>
    <row r="45" spans="2:22" x14ac:dyDescent="0.2">
      <c r="B45" s="139"/>
    </row>
    <row r="46" spans="2:22" x14ac:dyDescent="0.2">
      <c r="B46" s="139"/>
    </row>
    <row r="47" spans="2:22" x14ac:dyDescent="0.2">
      <c r="B47" s="131"/>
    </row>
    <row r="48" spans="2:22" x14ac:dyDescent="0.2">
      <c r="B48" s="131"/>
    </row>
  </sheetData>
  <hyperlinks>
    <hyperlink ref="C5" r:id="rId1"/>
    <hyperlink ref="C6" r:id="rId2"/>
    <hyperlink ref="C7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PERUNTUKKAN PROJEK</vt:lpstr>
      <vt:lpstr>PROFAIL PP</vt:lpstr>
      <vt:lpstr>DATABASE SISTEM TERBUKA</vt:lpstr>
      <vt:lpstr>DATABASE SISTEM TERTUTUP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2026-07-10T13:22:07Z</dcterms:modified>
</cp:coreProperties>
</file>