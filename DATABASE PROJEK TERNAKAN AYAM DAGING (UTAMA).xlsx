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AIL PP" sheetId="1" r:id="rId5"/>
    <sheet state="hidden" name="DASHBOARD STATUS PROJEK" sheetId="2" r:id="rId6"/>
    <sheet state="visible" name="DASHBOARD STATUS PROJEK ver1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<sst xmlns="http://schemas.openxmlformats.org/spreadsheetml/2006/main" count="340" uniqueCount="103">
  <si>
    <t>NAMA PERTUBUHAN PELADANG</t>
  </si>
  <si>
    <t>DAERAH</t>
  </si>
  <si>
    <t>PENGURUS BESAR</t>
  </si>
  <si>
    <t>KAPASITI PROJEK (EKOR)</t>
  </si>
  <si>
    <t>SASARAN TAHUN 2021 (RM)</t>
  </si>
  <si>
    <t>SASARAN TAHUN 2022 (RM)</t>
  </si>
  <si>
    <t>SASARAN TAHUN 2023 (RM)</t>
  </si>
  <si>
    <t>SASARAN TAHUN 2024 (RM)</t>
  </si>
  <si>
    <t>SASARAN TAHUN 2025 (RM)</t>
  </si>
  <si>
    <t>SASARAN TAHUN 2026 (RM)</t>
  </si>
  <si>
    <t>LOKASI</t>
  </si>
  <si>
    <t>SISTEM</t>
  </si>
  <si>
    <t>PPK KIJAL</t>
  </si>
  <si>
    <t>KEMAMAN</t>
  </si>
  <si>
    <t>ZAKRY BIN ISMAIL</t>
  </si>
  <si>
    <t>KG. PENGKALAN RANGGON</t>
  </si>
  <si>
    <t>TERBUKA</t>
  </si>
  <si>
    <t>PPK DUNGUN</t>
  </si>
  <si>
    <t>DUNGUN</t>
  </si>
  <si>
    <t>NIK HAIRUL ZAMANI BIN DAUD</t>
  </si>
  <si>
    <t>KG. BESOL</t>
  </si>
  <si>
    <t>PPK BUKIT DIMAN</t>
  </si>
  <si>
    <t>HULU TERENGGANU</t>
  </si>
  <si>
    <t>ZAWANI BIN MD. ZAIN</t>
  </si>
  <si>
    <t>KG. PELADAN</t>
  </si>
  <si>
    <t>TAHUN PROJEK</t>
  </si>
  <si>
    <t>PUSINGAN</t>
  </si>
  <si>
    <t>PENDAPATAN</t>
  </si>
  <si>
    <t>KOS PENGELUARAN</t>
  </si>
  <si>
    <t>UNTUNG / RUGI PROJEK</t>
  </si>
  <si>
    <t>NAMA SYARIKAT PEMBEKAL</t>
  </si>
  <si>
    <t>INPUT (DOC) EKOR</t>
  </si>
  <si>
    <t>HARGA DOC / EKOR (RM)</t>
  </si>
  <si>
    <t>BILANGAN KEMATIAN (EKOR)</t>
  </si>
  <si>
    <t>KADAR KEMATIAN %</t>
  </si>
  <si>
    <t>KADAR HIDUP %</t>
  </si>
  <si>
    <t>PURATA HARI - UMUR AYAM TERJUAL</t>
  </si>
  <si>
    <t>JUMLAH BAG MAKANAN</t>
  </si>
  <si>
    <t>FOOD CONVERSION RATE (FCR)</t>
  </si>
  <si>
    <t>OUTPUT ( EKOR)- JUMLAH AYAM TERJUAL</t>
  </si>
  <si>
    <t>OUTPUT (KG) - JUMLAH BERAT (KG)</t>
  </si>
  <si>
    <t>PURATA BERAT / EKOR</t>
  </si>
  <si>
    <t>PENDAPATAN BERSIH / EKOR</t>
  </si>
  <si>
    <t>KOS PENGELUARAN / EKOR</t>
  </si>
  <si>
    <t>MARGIN UNTUNG / RUGI / EKOR</t>
  </si>
  <si>
    <t>PENDAPATAN BERSIH / KG</t>
  </si>
  <si>
    <t>KOS PENGELUARAN / KG</t>
  </si>
  <si>
    <t>MARGIN UNTUNG / RUGI / KG</t>
  </si>
  <si>
    <t>MARGIN / EKOR (RM)</t>
  </si>
  <si>
    <t>BROILER PERFORMANCE INDEX (BPI)</t>
  </si>
  <si>
    <t>KESIMPULAN PRESTASI PROJEK</t>
  </si>
  <si>
    <t>P 1/2021</t>
  </si>
  <si>
    <t>P 2/2021</t>
  </si>
  <si>
    <t>P 3/2021</t>
  </si>
  <si>
    <t>P 4/2021</t>
  </si>
  <si>
    <t>P 5/2021</t>
  </si>
  <si>
    <t>P 6/2021</t>
  </si>
  <si>
    <t>P 1/2022</t>
  </si>
  <si>
    <t>P 2/2022</t>
  </si>
  <si>
    <t>P 3/2022</t>
  </si>
  <si>
    <t>P 4/2022</t>
  </si>
  <si>
    <t>P 5/2022</t>
  </si>
  <si>
    <t>P 6/2022</t>
  </si>
  <si>
    <t>P 1/2023</t>
  </si>
  <si>
    <t>P 2/2023</t>
  </si>
  <si>
    <t>P 3/2023</t>
  </si>
  <si>
    <t>P 4/2023</t>
  </si>
  <si>
    <t>P 5/2023</t>
  </si>
  <si>
    <t>P 6/2023</t>
  </si>
  <si>
    <t>P 1/2024</t>
  </si>
  <si>
    <t>P 2/2024</t>
  </si>
  <si>
    <t>P 3/2024</t>
  </si>
  <si>
    <t>P 4/2024</t>
  </si>
  <si>
    <t>P 5/2024</t>
  </si>
  <si>
    <t>P 6/2024</t>
  </si>
  <si>
    <t>P 1/2025</t>
  </si>
  <si>
    <t>P 2/2025</t>
  </si>
  <si>
    <t>P 3/2025</t>
  </si>
  <si>
    <t>P 4/2025</t>
  </si>
  <si>
    <t>P 5/2025</t>
  </si>
  <si>
    <t>Goldform Corporation Sdn Bhd</t>
  </si>
  <si>
    <t>VERY BAD</t>
  </si>
  <si>
    <t>Chop Cheong Bee Sdn Bhd</t>
  </si>
  <si>
    <t>VERY GOOD</t>
  </si>
  <si>
    <t>P 1/2026</t>
  </si>
  <si>
    <t>AK MUHIBBAH SDN BHD</t>
  </si>
  <si>
    <t>P 2/2026</t>
  </si>
  <si>
    <t>P 3/2026</t>
  </si>
  <si>
    <t>GT POULTRY SDN BHD</t>
  </si>
  <si>
    <t>JUST AVERAGE</t>
  </si>
  <si>
    <t>CONTOH =IMPORTRANGE("1oH3BnpK1_BjF64MdslOV3BHbj96oDkgryR4pjqVaaMk", "LAPORAN BULANAN!D70:E70")</t>
  </si>
  <si>
    <t>https://docs.google.com/spreadsheets/d/1o4Ac6NI0SfLibsumFt9f9lHwJFVrF2ykccRsQvuxGAI/edit?usp=drive_link</t>
  </si>
  <si>
    <t>https://docs.google.com/spreadsheets/d/1OP-qxVLNURBqstk-WZQd8qB2vYxDQLc8s35zWl_CMzo/edit?usp=drive_link</t>
  </si>
  <si>
    <t>https://docs.google.com/spreadsheets/d/1Y1LY7dyNGLp0NieLSn-6awoDagvXjF5SwgLKBcwcayI/edit?usp=drive_link</t>
  </si>
  <si>
    <t>1o4Ac6NI0SfLibsumFt9f9lHwJFVrF2ykccRsQvuxGAI</t>
  </si>
  <si>
    <t>1OP-qxVLNURBqstk-WZQd8qB2vYxDQLc8s35zWl_CMzo</t>
  </si>
  <si>
    <t>1Y1LY7dyNGLp0NieLSn-6awoDagvXjF5SwgLKBcwcayI</t>
  </si>
  <si>
    <t>Pendapatan Bersih / Ekor</t>
  </si>
  <si>
    <t>Kos Pengeluaran / Ekor</t>
  </si>
  <si>
    <t>Margin Untung / Rugi / Ekor</t>
  </si>
  <si>
    <t>Pendapatan Bersih / Kg</t>
  </si>
  <si>
    <t>Kos Pengeluaran / Kg</t>
  </si>
  <si>
    <t>Margin Untung / Rugi /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</si>
</sst>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_(* #,##0.00_);_(* \(#,##0.00\);_(* &quot;-&quot;??_);_(@_)"/>
    <numFmt numFmtId="166" formatCode="_(* #,##0_);_(* \(#,##0\);_(* &quot;-&quot;??_);_(@_)"/>
  </numFmts>
  <fonts count="1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0C0C0C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3" xfId="0" applyFont="1" applyNumberForma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3" numFmtId="2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3" numFmtId="4" xfId="0" applyFont="1" applyNumberFormat="1"/>
    <xf borderId="0" fillId="0" fontId="3" numFmtId="2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3" numFmtId="3" xfId="0" applyAlignment="1" applyFont="1" applyNumberFormat="1">
      <alignment horizontal="right" shrinkToFit="0" vertical="center" wrapText="1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left" readingOrder="0" shrinkToFit="0" vertical="center" wrapText="1"/>
    </xf>
    <xf borderId="0" fillId="0" fontId="3" numFmtId="3" xfId="0" applyAlignment="1" applyFont="1" applyNumberFormat="1">
      <alignment horizontal="right" readingOrder="0" shrinkToFit="0" vertical="center" wrapText="1"/>
    </xf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3" numFmtId="10" xfId="0" applyFont="1" applyNumberFormat="1"/>
    <xf borderId="0" fillId="0" fontId="3" numFmtId="1" xfId="0" applyFont="1" applyNumberFormat="1"/>
    <xf borderId="0" fillId="0" fontId="3" numFmtId="166" xfId="0" applyFont="1" applyNumberFormat="1"/>
    <xf borderId="0" fillId="2" fontId="4" numFmtId="0" xfId="0" applyAlignment="1" applyFill="1" applyFont="1">
      <alignment horizontal="right" vertical="bottom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horizontal="right" readingOrder="0" vertical="bottom"/>
    </xf>
    <xf borderId="0" fillId="2" fontId="3" numFmtId="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3" xfId="0" applyAlignment="1" applyFont="1" applyNumberFormat="1">
      <alignment readingOrder="0"/>
    </xf>
    <xf borderId="0" fillId="2" fontId="3" numFmtId="2" xfId="0" applyAlignment="1" applyFont="1" applyNumberFormat="1">
      <alignment readingOrder="0"/>
    </xf>
    <xf borderId="0" fillId="2" fontId="3" numFmtId="10" xfId="0" applyAlignment="1" applyFont="1" applyNumberFormat="1">
      <alignment readingOrder="0"/>
    </xf>
    <xf borderId="0" fillId="2" fontId="3" numFmtId="1" xfId="0" applyAlignment="1" applyFont="1" applyNumberFormat="1">
      <alignment readingOrder="0"/>
    </xf>
    <xf borderId="0" fillId="2" fontId="3" numFmtId="4" xfId="0" applyFont="1" applyNumberFormat="1"/>
    <xf borderId="0" fillId="2" fontId="3" numFmtId="3" xfId="0" applyFont="1" applyNumberFormat="1"/>
    <xf borderId="0" fillId="2" fontId="3" numFmtId="2" xfId="0" applyFont="1" applyNumberFormat="1"/>
    <xf borderId="0" fillId="3" fontId="4" numFmtId="0" xfId="0" applyAlignment="1" applyFill="1" applyFont="1">
      <alignment horizontal="right" vertical="bottom"/>
    </xf>
    <xf borderId="0" fillId="3" fontId="3" numFmtId="0" xfId="0" applyAlignment="1" applyFont="1">
      <alignment readingOrder="0" vertical="bottom"/>
    </xf>
    <xf borderId="0" fillId="3" fontId="4" numFmtId="0" xfId="0" applyAlignment="1" applyFont="1">
      <alignment horizontal="right" readingOrder="0" vertical="bottom"/>
    </xf>
    <xf borderId="0" fillId="3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3" xfId="0" applyAlignment="1" applyFont="1" applyNumberFormat="1">
      <alignment readingOrder="0"/>
    </xf>
    <xf borderId="0" fillId="3" fontId="3" numFmtId="2" xfId="0" applyAlignment="1" applyFont="1" applyNumberFormat="1">
      <alignment readingOrder="0"/>
    </xf>
    <xf borderId="0" fillId="3" fontId="3" numFmtId="10" xfId="0" applyAlignment="1" applyFont="1" applyNumberFormat="1">
      <alignment readingOrder="0"/>
    </xf>
    <xf borderId="0" fillId="3" fontId="3" numFmtId="1" xfId="0" applyAlignment="1" applyFont="1" applyNumberFormat="1">
      <alignment readingOrder="0"/>
    </xf>
    <xf borderId="0" fillId="3" fontId="3" numFmtId="4" xfId="0" applyFont="1" applyNumberFormat="1"/>
    <xf borderId="0" fillId="3" fontId="3" numFmtId="3" xfId="0" applyFont="1" applyNumberFormat="1"/>
    <xf borderId="0" fillId="3" fontId="3" numFmtId="2" xfId="0" applyFont="1" applyNumberFormat="1"/>
    <xf borderId="0" fillId="4" fontId="4" numFmtId="0" xfId="0" applyAlignment="1" applyFill="1" applyFont="1">
      <alignment horizontal="right" vertical="bottom"/>
    </xf>
    <xf borderId="0" fillId="4" fontId="3" numFmtId="0" xfId="0" applyAlignment="1" applyFont="1">
      <alignment readingOrder="0" vertical="bottom"/>
    </xf>
    <xf borderId="0" fillId="4" fontId="4" numFmtId="0" xfId="0" applyAlignment="1" applyFont="1">
      <alignment horizontal="right" readingOrder="0" vertical="bottom"/>
    </xf>
    <xf borderId="0" fillId="4" fontId="3" numFmtId="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4" fontId="3" numFmtId="3" xfId="0" applyAlignment="1" applyFont="1" applyNumberFormat="1">
      <alignment readingOrder="0"/>
    </xf>
    <xf borderId="0" fillId="4" fontId="3" numFmtId="2" xfId="0" applyAlignment="1" applyFont="1" applyNumberFormat="1">
      <alignment readingOrder="0"/>
    </xf>
    <xf borderId="0" fillId="4" fontId="3" numFmtId="10" xfId="0" applyAlignment="1" applyFont="1" applyNumberFormat="1">
      <alignment readingOrder="0"/>
    </xf>
    <xf borderId="0" fillId="4" fontId="3" numFmtId="1" xfId="0" applyAlignment="1" applyFont="1" applyNumberFormat="1">
      <alignment readingOrder="0"/>
    </xf>
    <xf borderId="0" fillId="4" fontId="3" numFmtId="4" xfId="0" applyFont="1" applyNumberFormat="1"/>
    <xf borderId="0" fillId="4" fontId="3" numFmtId="3" xfId="0" applyFont="1" applyNumberFormat="1"/>
    <xf borderId="0" fillId="4" fontId="3" numFmtId="2" xfId="0" applyFont="1" applyNumberFormat="1"/>
    <xf borderId="0" fillId="4" fontId="3" numFmtId="0" xfId="0" applyFont="1"/>
    <xf borderId="0" fillId="4" fontId="3" numFmtId="165" xfId="0" applyFont="1" applyNumberFormat="1"/>
    <xf borderId="0" fillId="4" fontId="3" numFmtId="165" xfId="0" applyAlignment="1" applyFont="1" applyNumberFormat="1">
      <alignment readingOrder="0"/>
    </xf>
    <xf borderId="0" fillId="5" fontId="4" numFmtId="0" xfId="0" applyAlignment="1" applyFill="1" applyFont="1">
      <alignment horizontal="right" vertical="bottom"/>
    </xf>
    <xf borderId="0" fillId="5" fontId="3" numFmtId="0" xfId="0" applyAlignment="1" applyFont="1">
      <alignment readingOrder="0" vertical="bottom"/>
    </xf>
    <xf borderId="0" fillId="5" fontId="4" numFmtId="0" xfId="0" applyAlignment="1" applyFont="1">
      <alignment horizontal="right" readingOrder="0" vertical="bottom"/>
    </xf>
    <xf borderId="0" fillId="5" fontId="3" numFmtId="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3" numFmtId="3" xfId="0" applyAlignment="1" applyFont="1" applyNumberFormat="1">
      <alignment readingOrder="0"/>
    </xf>
    <xf borderId="0" fillId="5" fontId="3" numFmtId="2" xfId="0" applyAlignment="1" applyFont="1" applyNumberFormat="1">
      <alignment readingOrder="0"/>
    </xf>
    <xf borderId="0" fillId="5" fontId="3" numFmtId="10" xfId="0" applyAlignment="1" applyFont="1" applyNumberFormat="1">
      <alignment readingOrder="0"/>
    </xf>
    <xf borderId="0" fillId="5" fontId="3" numFmtId="1" xfId="0" applyAlignment="1" applyFont="1" applyNumberFormat="1">
      <alignment readingOrder="0"/>
    </xf>
    <xf borderId="0" fillId="5" fontId="3" numFmtId="4" xfId="0" applyFont="1" applyNumberFormat="1"/>
    <xf borderId="0" fillId="5" fontId="3" numFmtId="3" xfId="0" applyFont="1" applyNumberFormat="1"/>
    <xf borderId="0" fillId="5" fontId="3" numFmtId="2" xfId="0" applyFont="1" applyNumberFormat="1"/>
    <xf borderId="0" fillId="5" fontId="3" numFmtId="0" xfId="0" applyAlignment="1" applyFont="1">
      <alignment horizontal="left" shrinkToFit="0" vertical="center" wrapText="1"/>
    </xf>
    <xf borderId="0" fillId="5" fontId="3" numFmtId="3" xfId="0" applyAlignment="1" applyFont="1" applyNumberFormat="1">
      <alignment horizontal="right" shrinkToFit="0" vertical="center" wrapText="1"/>
    </xf>
    <xf borderId="0" fillId="5" fontId="3" numFmtId="0" xfId="0" applyFont="1"/>
    <xf borderId="0" fillId="5" fontId="3" numFmtId="165" xfId="0" applyAlignment="1" applyFont="1" applyNumberFormat="1">
      <alignment readingOrder="0"/>
    </xf>
    <xf borderId="0" fillId="5" fontId="3" numFmtId="165" xfId="0" applyFont="1" applyNumberFormat="1"/>
    <xf borderId="0" fillId="6" fontId="4" numFmtId="0" xfId="0" applyAlignment="1" applyFill="1" applyFont="1">
      <alignment horizontal="right" vertical="bottom"/>
    </xf>
    <xf borderId="0" fillId="6" fontId="3" numFmtId="0" xfId="0" applyAlignment="1" applyFont="1">
      <alignment readingOrder="0" vertical="bottom"/>
    </xf>
    <xf borderId="0" fillId="6" fontId="4" numFmtId="0" xfId="0" applyAlignment="1" applyFont="1">
      <alignment horizontal="right" readingOrder="0" vertical="bottom"/>
    </xf>
    <xf borderId="0" fillId="6" fontId="3" numFmtId="4" xfId="0" applyAlignment="1" applyFont="1" applyNumberFormat="1">
      <alignment horizontal="right" vertical="bottom"/>
    </xf>
    <xf borderId="0" fillId="6" fontId="3" numFmtId="4" xfId="0" applyAlignment="1" applyFont="1" applyNumberFormat="1">
      <alignment readingOrder="0"/>
    </xf>
    <xf borderId="0" fillId="6" fontId="3" numFmtId="0" xfId="0" applyAlignment="1" applyFont="1">
      <alignment horizontal="left" readingOrder="0" shrinkToFit="0" vertical="center" wrapText="1"/>
    </xf>
    <xf borderId="0" fillId="6" fontId="3" numFmtId="3" xfId="0" applyAlignment="1" applyFont="1" applyNumberFormat="1">
      <alignment readingOrder="0"/>
    </xf>
    <xf borderId="0" fillId="6" fontId="3" numFmtId="2" xfId="0" applyAlignment="1" applyFont="1" applyNumberFormat="1">
      <alignment readingOrder="0"/>
    </xf>
    <xf borderId="0" fillId="6" fontId="3" numFmtId="10" xfId="0" applyAlignment="1" applyFont="1" applyNumberFormat="1">
      <alignment readingOrder="0"/>
    </xf>
    <xf borderId="0" fillId="6" fontId="3" numFmtId="1" xfId="0" applyAlignment="1" applyFont="1" applyNumberFormat="1">
      <alignment readingOrder="0"/>
    </xf>
    <xf borderId="0" fillId="6" fontId="3" numFmtId="3" xfId="0" applyAlignment="1" applyFont="1" applyNumberFormat="1">
      <alignment horizontal="right" readingOrder="0" shrinkToFit="0" vertical="center" wrapText="1"/>
    </xf>
    <xf borderId="0" fillId="6" fontId="3" numFmtId="4" xfId="0" applyFont="1" applyNumberFormat="1"/>
    <xf borderId="0" fillId="6" fontId="3" numFmtId="3" xfId="0" applyFont="1" applyNumberFormat="1"/>
    <xf borderId="0" fillId="6" fontId="3" numFmtId="0" xfId="0" applyFont="1"/>
    <xf borderId="0" fillId="6" fontId="3" numFmtId="3" xfId="0" applyAlignment="1" applyFont="1" applyNumberFormat="1">
      <alignment horizontal="right" vertical="bottom"/>
    </xf>
    <xf borderId="0" fillId="6" fontId="3" numFmtId="10" xfId="0" applyAlignment="1" applyFont="1" applyNumberFormat="1">
      <alignment horizontal="right" vertical="bottom"/>
    </xf>
    <xf borderId="0" fillId="6" fontId="3" numFmtId="0" xfId="0" applyAlignment="1" applyFont="1">
      <alignment horizontal="right" vertical="bottom"/>
    </xf>
    <xf borderId="0" fillId="6" fontId="3" numFmtId="2" xfId="0" applyAlignment="1" applyFont="1" applyNumberFormat="1">
      <alignment horizontal="right" vertical="bottom"/>
    </xf>
    <xf borderId="0" fillId="6" fontId="5" numFmtId="4" xfId="0" applyAlignment="1" applyFont="1" applyNumberFormat="1">
      <alignment horizontal="right" vertical="bottom"/>
    </xf>
    <xf borderId="0" fillId="6" fontId="5" numFmtId="3" xfId="0" applyAlignment="1" applyFont="1" applyNumberFormat="1">
      <alignment horizontal="right" vertical="bottom"/>
    </xf>
    <xf borderId="0" fillId="6" fontId="3" numFmtId="0" xfId="0" applyAlignment="1" applyFont="1">
      <alignment readingOrder="0"/>
    </xf>
    <xf borderId="0" fillId="6" fontId="3" numFmtId="165" xfId="0" applyAlignment="1" applyFont="1" applyNumberFormat="1">
      <alignment readingOrder="0"/>
    </xf>
    <xf borderId="0" fillId="6" fontId="3" numFmtId="165" xfId="0" applyFont="1" applyNumberFormat="1"/>
    <xf borderId="0" fillId="6" fontId="3" numFmtId="10" xfId="0" applyFont="1" applyNumberFormat="1"/>
    <xf borderId="0" fillId="6" fontId="3" numFmtId="1" xfId="0" applyFont="1" applyNumberFormat="1"/>
    <xf borderId="0" fillId="6" fontId="3" numFmtId="2" xfId="0" applyFont="1" applyNumberFormat="1"/>
    <xf borderId="0" fillId="6" fontId="3" numFmtId="166" xfId="0" applyFont="1" applyNumberFormat="1"/>
    <xf borderId="0" fillId="7" fontId="3" numFmtId="0" xfId="0" applyAlignment="1" applyFill="1" applyFont="1">
      <alignment readingOrder="0"/>
    </xf>
    <xf borderId="0" fillId="7" fontId="3" numFmtId="0" xfId="0" applyAlignment="1" applyFont="1">
      <alignment readingOrder="0" vertical="bottom"/>
    </xf>
    <xf borderId="0" fillId="7" fontId="4" numFmtId="0" xfId="0" applyAlignment="1" applyFont="1">
      <alignment horizontal="right" readingOrder="0" vertical="bottom"/>
    </xf>
    <xf borderId="0" fillId="7" fontId="3" numFmtId="165" xfId="0" applyFont="1" applyNumberFormat="1"/>
    <xf borderId="0" fillId="7" fontId="3" numFmtId="4" xfId="0" applyAlignment="1" applyFont="1" applyNumberFormat="1">
      <alignment readingOrder="0"/>
    </xf>
    <xf borderId="0" fillId="7" fontId="3" numFmtId="3" xfId="0" applyAlignment="1" applyFont="1" applyNumberFormat="1">
      <alignment readingOrder="0"/>
    </xf>
    <xf borderId="0" fillId="7" fontId="3" numFmtId="10" xfId="0" applyAlignment="1" applyFont="1" applyNumberFormat="1">
      <alignment readingOrder="0"/>
    </xf>
    <xf borderId="0" fillId="7" fontId="6" numFmtId="3" xfId="0" applyAlignment="1" applyFont="1" applyNumberFormat="1">
      <alignment readingOrder="0"/>
    </xf>
    <xf borderId="0" fillId="7" fontId="6" numFmtId="0" xfId="0" applyAlignment="1" applyFont="1">
      <alignment readingOrder="0"/>
    </xf>
    <xf borderId="0" fillId="7" fontId="6" numFmtId="10" xfId="0" applyAlignment="1" applyFont="1" applyNumberFormat="1">
      <alignment readingOrder="0"/>
    </xf>
    <xf borderId="0" fillId="7" fontId="6" numFmtId="4" xfId="0" applyAlignment="1" applyFont="1" applyNumberFormat="1">
      <alignment readingOrder="0"/>
    </xf>
    <xf borderId="0" fillId="7" fontId="3" numFmtId="0" xfId="0" applyFont="1"/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 vertical="bottom"/>
    </xf>
    <xf borderId="0" fillId="0" fontId="7" numFmtId="4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6" numFmtId="4" xfId="0" applyAlignment="1" applyFont="1" applyNumberFormat="1">
      <alignment readingOrder="0" vertical="bottom"/>
    </xf>
    <xf borderId="0" fillId="0" fontId="8" numFmtId="3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4Ac6NI0SfLibsumFt9f9lHwJFVrF2ykccRsQvuxGAI/edit?usp=drive_link" TargetMode="External"/><Relationship Id="rId2" Type="http://schemas.openxmlformats.org/officeDocument/2006/relationships/hyperlink" Target="https://docs.google.com/spreadsheets/d/1OP-qxVLNURBqstk-WZQd8qB2vYxDQLc8s35zWl_CMzo/edit?usp=drive_link" TargetMode="External"/><Relationship Id="rId3" Type="http://schemas.openxmlformats.org/officeDocument/2006/relationships/hyperlink" Target="https://docs.google.com/spreadsheets/d/1Y1LY7dyNGLp0NieLSn-6awoDagvXjF5SwgLKBcwcayI/edit?usp=drive_link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1.88"/>
    <col customWidth="1" min="3" max="3" width="29.38"/>
    <col customWidth="1" min="4" max="4" width="16.5"/>
    <col customWidth="1" min="5" max="5" width="15.38"/>
    <col customWidth="1" min="6" max="9" width="15.0"/>
    <col customWidth="1" min="10" max="10" width="14.75"/>
    <col customWidth="1" min="11" max="11" width="26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12</v>
      </c>
      <c r="B2" s="6" t="s">
        <v>13</v>
      </c>
      <c r="C2" s="6" t="s">
        <v>14</v>
      </c>
      <c r="D2" s="7">
        <v>35000.0</v>
      </c>
      <c r="E2" s="8">
        <v>1400000.0</v>
      </c>
      <c r="F2" s="8">
        <v>2600000.0</v>
      </c>
      <c r="G2" s="8">
        <v>2000000.0</v>
      </c>
      <c r="H2" s="8">
        <v>2000000.0</v>
      </c>
      <c r="I2" s="8">
        <v>2000000.0</v>
      </c>
      <c r="J2" s="8">
        <v>970000.0</v>
      </c>
      <c r="K2" s="9" t="s">
        <v>15</v>
      </c>
      <c r="L2" s="9" t="s">
        <v>16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5" t="s">
        <v>17</v>
      </c>
      <c r="B3" s="6" t="s">
        <v>18</v>
      </c>
      <c r="C3" s="6" t="s">
        <v>19</v>
      </c>
      <c r="D3" s="7">
        <v>45000.0</v>
      </c>
      <c r="E3" s="8">
        <v>400000.0</v>
      </c>
      <c r="F3" s="8">
        <v>1800000.0</v>
      </c>
      <c r="G3" s="8">
        <v>3000000.0</v>
      </c>
      <c r="H3" s="8">
        <v>3000000.0</v>
      </c>
      <c r="I3" s="8">
        <v>3200000.0</v>
      </c>
      <c r="J3" s="8">
        <v>3200000.0</v>
      </c>
      <c r="K3" s="9" t="s">
        <v>20</v>
      </c>
      <c r="L3" s="9" t="s">
        <v>16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5" t="s">
        <v>21</v>
      </c>
      <c r="B4" s="6" t="s">
        <v>22</v>
      </c>
      <c r="C4" s="6" t="s">
        <v>23</v>
      </c>
      <c r="D4" s="7">
        <v>15000.0</v>
      </c>
      <c r="E4" s="8">
        <v>0.0</v>
      </c>
      <c r="F4" s="8">
        <v>0.0</v>
      </c>
      <c r="G4" s="8">
        <v>800000.0</v>
      </c>
      <c r="H4" s="8">
        <v>800000.0</v>
      </c>
      <c r="I4" s="8">
        <v>950000.0</v>
      </c>
      <c r="J4" s="8">
        <v>950000.0</v>
      </c>
      <c r="K4" s="9" t="s">
        <v>24</v>
      </c>
      <c r="L4" s="9" t="s">
        <v>16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0"/>
      <c r="B6" s="10"/>
      <c r="C6" s="10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0"/>
      <c r="B7" s="10"/>
      <c r="C7" s="10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0"/>
      <c r="B8" s="10"/>
      <c r="C8" s="10"/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10"/>
      <c r="B9" s="10"/>
      <c r="C9" s="10"/>
      <c r="D9" s="11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10"/>
      <c r="B10" s="10"/>
      <c r="C10" s="10"/>
      <c r="D10" s="1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10"/>
      <c r="B11" s="10"/>
      <c r="C11" s="10"/>
      <c r="D11" s="1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10"/>
      <c r="B12" s="10"/>
      <c r="C12" s="10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0"/>
      <c r="B13" s="10"/>
      <c r="C13" s="10"/>
      <c r="D13" s="11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0"/>
      <c r="B14" s="10"/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10"/>
      <c r="B15" s="10"/>
      <c r="C15" s="10"/>
      <c r="D15" s="11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0"/>
      <c r="B16" s="10"/>
      <c r="C16" s="10"/>
      <c r="D16" s="1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10"/>
      <c r="B17" s="10"/>
      <c r="C17" s="10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0"/>
      <c r="B18" s="10"/>
      <c r="C18" s="10"/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10"/>
      <c r="B19" s="10"/>
      <c r="C19" s="10"/>
      <c r="D19" s="1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10"/>
      <c r="B20" s="10"/>
      <c r="C20" s="10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10"/>
      <c r="B21" s="10"/>
      <c r="C21" s="10"/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0"/>
      <c r="B22" s="10"/>
      <c r="C22" s="10"/>
      <c r="D22" s="1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0"/>
      <c r="B23" s="10"/>
      <c r="C23" s="10"/>
      <c r="D23" s="1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>
      <c r="A24" s="10"/>
      <c r="B24" s="10"/>
      <c r="C24" s="10"/>
      <c r="D24" s="1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0"/>
      <c r="B25" s="10"/>
      <c r="C25" s="10"/>
      <c r="D25" s="1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10"/>
      <c r="B26" s="10"/>
      <c r="C26" s="10"/>
      <c r="D26" s="1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10"/>
      <c r="B27" s="10"/>
      <c r="C27" s="10"/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75"/>
    <col customWidth="1" min="2" max="2" width="10.88"/>
    <col customWidth="1" min="4" max="4" width="14.38"/>
    <col customWidth="1" min="5" max="5" width="16.0"/>
    <col customWidth="1" min="6" max="6" width="13.75"/>
    <col customWidth="1" min="7" max="7" width="31.88"/>
    <col customWidth="1" min="9" max="9" width="13.75"/>
    <col customWidth="1" min="10" max="10" width="17.38"/>
    <col customWidth="1" min="14" max="14" width="12.88"/>
    <col customWidth="1" min="15" max="15" width="13.13"/>
    <col customWidth="1" min="16" max="16" width="15.38"/>
    <col customWidth="1" min="17" max="17" width="14.88"/>
    <col customWidth="1" min="18" max="18" width="10.38"/>
    <col customWidth="1" min="19" max="19" width="11.25"/>
    <col customWidth="1" min="20" max="20" width="15.25"/>
    <col customWidth="1" min="27" max="27" width="17.38"/>
  </cols>
  <sheetData>
    <row r="1">
      <c r="A1" s="12" t="s">
        <v>0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12"/>
      <c r="AC1" s="12"/>
      <c r="AD1" s="12"/>
      <c r="AE1" s="12"/>
      <c r="AF1" s="12"/>
    </row>
    <row r="2">
      <c r="A2" s="13" t="s">
        <v>12</v>
      </c>
      <c r="B2" s="14">
        <v>2021.0</v>
      </c>
      <c r="C2" s="15">
        <v>44197.0</v>
      </c>
      <c r="D2" s="8">
        <v>195276.25</v>
      </c>
      <c r="E2" s="8">
        <v>185222.73</v>
      </c>
      <c r="F2" s="8">
        <f t="shared" ref="F2:F65" si="1">D2-E2</f>
        <v>10053.52</v>
      </c>
      <c r="G2" s="9" t="str">
        <f>IFERROR(__xludf.DUMMYFUNCTION("TRANSPOSE(IMPORTRANGE(""1o4Ac6NI0SfLibsumFt9f9lHwJFVrF2ykccRsQvuxGAI"", ""2021!C49:H69""))"),"Kee Sung Agriculture (M) Sdn Bhd")</f>
        <v>Kee Sung Agriculture (M) Sdn Bhd</v>
      </c>
      <c r="H2" s="7">
        <f>IFERROR(__xludf.DUMMYFUNCTION("""COMPUTED_VALUE"""),20200.0)</f>
        <v>20200</v>
      </c>
      <c r="I2" s="16">
        <f>IFERROR(__xludf.DUMMYFUNCTION("""COMPUTED_VALUE"""),2.03)</f>
        <v>2.03</v>
      </c>
      <c r="J2" s="16">
        <f>IFERROR(__xludf.DUMMYFUNCTION("""COMPUTED_VALUE"""),1208.0)</f>
        <v>1208</v>
      </c>
      <c r="K2" s="17">
        <f>IFERROR(__xludf.DUMMYFUNCTION("""COMPUTED_VALUE"""),0.0598019801980198)</f>
        <v>0.0598019802</v>
      </c>
      <c r="L2" s="17">
        <f>IFERROR(__xludf.DUMMYFUNCTION("""COMPUTED_VALUE"""),0.9401980198019801)</f>
        <v>0.9401980198</v>
      </c>
      <c r="M2" s="18">
        <f>IFERROR(__xludf.DUMMYFUNCTION("""COMPUTED_VALUE"""),35.0)</f>
        <v>35</v>
      </c>
      <c r="N2" s="7">
        <f>IFERROR(__xludf.DUMMYFUNCTION("""COMPUTED_VALUE"""),1400.3450999999998)</f>
        <v>1400.3451</v>
      </c>
      <c r="O2" s="9">
        <f>IFERROR(__xludf.DUMMYFUNCTION("""COMPUTED_VALUE"""),1.65)</f>
        <v>1.65</v>
      </c>
      <c r="P2" s="7">
        <f>IFERROR(__xludf.DUMMYFUNCTION("""COMPUTED_VALUE"""),18992.0)</f>
        <v>18992</v>
      </c>
      <c r="Q2" s="8">
        <f>IFERROR(__xludf.DUMMYFUNCTION("""COMPUTED_VALUE"""),42434.7)</f>
        <v>42434.7</v>
      </c>
      <c r="R2" s="8">
        <f>IFERROR(__xludf.DUMMYFUNCTION("""COMPUTED_VALUE"""),2.234346040438079)</f>
        <v>2.23434604</v>
      </c>
      <c r="S2" s="8">
        <f>IFERROR(__xludf.DUMMYFUNCTION("""COMPUTED_VALUE"""),10.282026642796968)</f>
        <v>10.28202664</v>
      </c>
      <c r="T2" s="8">
        <f>IFERROR(__xludf.DUMMYFUNCTION("""COMPUTED_VALUE"""),9.752671124684076)</f>
        <v>9.752671125</v>
      </c>
      <c r="U2" s="8">
        <f>IFERROR(__xludf.DUMMYFUNCTION("""COMPUTED_VALUE"""),0.5293555181128919)</f>
        <v>0.5293555181</v>
      </c>
      <c r="V2" s="19">
        <f>IFERROR(__xludf.DUMMYFUNCTION("""COMPUTED_VALUE"""),4.601805833433487)</f>
        <v>4.601805833</v>
      </c>
      <c r="W2" s="19">
        <f>IFERROR(__xludf.DUMMYFUNCTION("""COMPUTED_VALUE"""),4.364888405008165)</f>
        <v>4.364888405</v>
      </c>
      <c r="X2" s="19">
        <f>IFERROR(__xludf.DUMMYFUNCTION("""COMPUTED_VALUE"""),0.23691742842532193)</f>
        <v>0.2369174284</v>
      </c>
      <c r="Y2" s="19">
        <f>IFERROR(__xludf.DUMMYFUNCTION("""COMPUTED_VALUE"""),0.5293555181128906)</f>
        <v>0.5293555181</v>
      </c>
      <c r="Z2" s="11">
        <f>IFERROR(__xludf.DUMMYFUNCTION("""COMPUTED_VALUE"""),363.76237623762376)</f>
        <v>363.7623762</v>
      </c>
      <c r="AA2" s="20" t="str">
        <f>IFERROR(__xludf.DUMMYFUNCTION("""COMPUTED_VALUE"""),"VERY BAD")</f>
        <v>VERY BAD</v>
      </c>
      <c r="AB2" s="10"/>
      <c r="AC2" s="10"/>
      <c r="AD2" s="10"/>
      <c r="AE2" s="10"/>
      <c r="AF2" s="10"/>
    </row>
    <row r="3">
      <c r="A3" s="13" t="s">
        <v>12</v>
      </c>
      <c r="B3" s="14">
        <v>2021.0</v>
      </c>
      <c r="C3" s="15">
        <v>44228.0</v>
      </c>
      <c r="D3" s="8">
        <v>195429.65</v>
      </c>
      <c r="E3" s="8">
        <v>181115.54</v>
      </c>
      <c r="F3" s="8">
        <f t="shared" si="1"/>
        <v>14314.11</v>
      </c>
      <c r="G3" s="9" t="str">
        <f>IFERROR(__xludf.DUMMYFUNCTION("""COMPUTED_VALUE"""),"Kee Sung Agriculture (M) Sdn Bhd")</f>
        <v>Kee Sung Agriculture (M) Sdn Bhd</v>
      </c>
      <c r="H3" s="7">
        <f>IFERROR(__xludf.DUMMYFUNCTION("""COMPUTED_VALUE"""),20200.0)</f>
        <v>20200</v>
      </c>
      <c r="I3" s="16">
        <f>IFERROR(__xludf.DUMMYFUNCTION("""COMPUTED_VALUE"""),2.03)</f>
        <v>2.03</v>
      </c>
      <c r="J3" s="16">
        <f>IFERROR(__xludf.DUMMYFUNCTION("""COMPUTED_VALUE"""),1073.0)</f>
        <v>1073</v>
      </c>
      <c r="K3" s="17">
        <f>IFERROR(__xludf.DUMMYFUNCTION("""COMPUTED_VALUE"""),0.05311881188118812)</f>
        <v>0.05311881188</v>
      </c>
      <c r="L3" s="17">
        <f>IFERROR(__xludf.DUMMYFUNCTION("""COMPUTED_VALUE"""),0.9468811881188118)</f>
        <v>0.9468811881</v>
      </c>
      <c r="M3" s="18">
        <f>IFERROR(__xludf.DUMMYFUNCTION("""COMPUTED_VALUE"""),35.0)</f>
        <v>35</v>
      </c>
      <c r="N3" s="7">
        <f>IFERROR(__xludf.DUMMYFUNCTION("""COMPUTED_VALUE"""),1399.8531)</f>
        <v>1399.8531</v>
      </c>
      <c r="O3" s="9">
        <f>IFERROR(__xludf.DUMMYFUNCTION("""COMPUTED_VALUE"""),1.66)</f>
        <v>1.66</v>
      </c>
      <c r="P3" s="7">
        <f>IFERROR(__xludf.DUMMYFUNCTION("""COMPUTED_VALUE"""),19127.0)</f>
        <v>19127</v>
      </c>
      <c r="Q3" s="8">
        <f>IFERROR(__xludf.DUMMYFUNCTION("""COMPUTED_VALUE"""),42164.25)</f>
        <v>42164.25</v>
      </c>
      <c r="R3" s="8">
        <f>IFERROR(__xludf.DUMMYFUNCTION("""COMPUTED_VALUE"""),2.2044361373973964)</f>
        <v>2.204436137</v>
      </c>
      <c r="S3" s="8">
        <f>IFERROR(__xludf.DUMMYFUNCTION("""COMPUTED_VALUE"""),10.217475296700998)</f>
        <v>10.2174753</v>
      </c>
      <c r="T3" s="19">
        <f>IFERROR(__xludf.DUMMYFUNCTION("""COMPUTED_VALUE"""),9.469103361739949)</f>
        <v>9.469103362</v>
      </c>
      <c r="U3" s="19">
        <f>IFERROR(__xludf.DUMMYFUNCTION("""COMPUTED_VALUE"""),0.7483719349610496)</f>
        <v>0.748371935</v>
      </c>
      <c r="V3" s="19">
        <f>IFERROR(__xludf.DUMMYFUNCTION("""COMPUTED_VALUE"""),4.634960896968403)</f>
        <v>4.634960897</v>
      </c>
      <c r="W3" s="19">
        <f>IFERROR(__xludf.DUMMYFUNCTION("""COMPUTED_VALUE"""),4.295476381057412)</f>
        <v>4.295476381</v>
      </c>
      <c r="X3" s="19">
        <f>IFERROR(__xludf.DUMMYFUNCTION("""COMPUTED_VALUE"""),0.33948451591099094)</f>
        <v>0.3394845159</v>
      </c>
      <c r="Y3" s="19">
        <f>IFERROR(__xludf.DUMMYFUNCTION("""COMPUTED_VALUE"""),0.7483719349610491)</f>
        <v>0.748371935</v>
      </c>
      <c r="Z3" s="11">
        <f>IFERROR(__xludf.DUMMYFUNCTION("""COMPUTED_VALUE"""),314.35829953477275)</f>
        <v>314.3582995</v>
      </c>
      <c r="AA3" s="20" t="str">
        <f>IFERROR(__xludf.DUMMYFUNCTION("""COMPUTED_VALUE"""),"JUST AVERAGE")</f>
        <v>JUST AVERAGE</v>
      </c>
      <c r="AB3" s="10"/>
      <c r="AC3" s="10"/>
      <c r="AD3" s="10"/>
      <c r="AE3" s="10"/>
      <c r="AF3" s="10"/>
    </row>
    <row r="4">
      <c r="A4" s="13" t="s">
        <v>12</v>
      </c>
      <c r="B4" s="14">
        <v>2021.0</v>
      </c>
      <c r="C4" s="15">
        <v>44256.0</v>
      </c>
      <c r="D4" s="8">
        <v>205046.55</v>
      </c>
      <c r="E4" s="8">
        <v>192480.55</v>
      </c>
      <c r="F4" s="8">
        <f t="shared" si="1"/>
        <v>12566</v>
      </c>
      <c r="G4" s="9" t="str">
        <f>IFERROR(__xludf.DUMMYFUNCTION("""COMPUTED_VALUE"""),"Kee Sung Agriculture (M) Sdn Bhd")</f>
        <v>Kee Sung Agriculture (M) Sdn Bhd</v>
      </c>
      <c r="H4" s="7">
        <f>IFERROR(__xludf.DUMMYFUNCTION("""COMPUTED_VALUE"""),19190.0)</f>
        <v>19190</v>
      </c>
      <c r="I4" s="16">
        <f>IFERROR(__xludf.DUMMYFUNCTION("""COMPUTED_VALUE"""),2.03)</f>
        <v>2.03</v>
      </c>
      <c r="J4" s="16">
        <f>IFERROR(__xludf.DUMMYFUNCTION("""COMPUTED_VALUE"""),1431.0)</f>
        <v>1431</v>
      </c>
      <c r="K4" s="17">
        <f>IFERROR(__xludf.DUMMYFUNCTION("""COMPUTED_VALUE"""),0.07457008858780614)</f>
        <v>0.07457008859</v>
      </c>
      <c r="L4" s="17">
        <f>IFERROR(__xludf.DUMMYFUNCTION("""COMPUTED_VALUE"""),0.9254299114121939)</f>
        <v>0.9254299114</v>
      </c>
      <c r="M4" s="18">
        <f>IFERROR(__xludf.DUMMYFUNCTION("""COMPUTED_VALUE"""),35.0)</f>
        <v>35</v>
      </c>
      <c r="N4" s="7">
        <f>IFERROR(__xludf.DUMMYFUNCTION("""COMPUTED_VALUE"""),1345.12472)</f>
        <v>1345.12472</v>
      </c>
      <c r="O4" s="9">
        <f>IFERROR(__xludf.DUMMYFUNCTION("""COMPUTED_VALUE"""),1.64)</f>
        <v>1.64</v>
      </c>
      <c r="P4" s="7">
        <f>IFERROR(__xludf.DUMMYFUNCTION("""COMPUTED_VALUE"""),17759.0)</f>
        <v>17759</v>
      </c>
      <c r="Q4" s="8">
        <f>IFERROR(__xludf.DUMMYFUNCTION("""COMPUTED_VALUE"""),41009.9)</f>
        <v>41009.9</v>
      </c>
      <c r="R4" s="8">
        <f>IFERROR(__xludf.DUMMYFUNCTION("""COMPUTED_VALUE"""),2.3092460161045105)</f>
        <v>2.309246016</v>
      </c>
      <c r="S4" s="8">
        <f>IFERROR(__xludf.DUMMYFUNCTION("""COMPUTED_VALUE"""),11.546063967565741)</f>
        <v>11.54606397</v>
      </c>
      <c r="T4" s="19">
        <f>IFERROR(__xludf.DUMMYFUNCTION("""COMPUTED_VALUE"""),10.838479081029337)</f>
        <v>10.83847908</v>
      </c>
      <c r="U4" s="19">
        <f>IFERROR(__xludf.DUMMYFUNCTION("""COMPUTED_VALUE"""),0.7075848865364041)</f>
        <v>0.7075848865</v>
      </c>
      <c r="V4" s="19">
        <f>IFERROR(__xludf.DUMMYFUNCTION("""COMPUTED_VALUE"""),4.999928066149881)</f>
        <v>4.999928066</v>
      </c>
      <c r="W4" s="19">
        <f>IFERROR(__xludf.DUMMYFUNCTION("""COMPUTED_VALUE"""),4.6935142489984125)</f>
        <v>4.693514249</v>
      </c>
      <c r="X4" s="19">
        <f>IFERROR(__xludf.DUMMYFUNCTION("""COMPUTED_VALUE"""),0.3064138171514683)</f>
        <v>0.3064138172</v>
      </c>
      <c r="Y4" s="19">
        <f>IFERROR(__xludf.DUMMYFUNCTION("""COMPUTED_VALUE"""),0.7075848865364024)</f>
        <v>0.7075848865</v>
      </c>
      <c r="Z4" s="11">
        <f>IFERROR(__xludf.DUMMYFUNCTION("""COMPUTED_VALUE"""),325.76910611471936)</f>
        <v>325.7691061</v>
      </c>
      <c r="AA4" s="20" t="str">
        <f>IFERROR(__xludf.DUMMYFUNCTION("""COMPUTED_VALUE"""),"JUST AVERAGE")</f>
        <v>JUST AVERAGE</v>
      </c>
      <c r="AB4" s="10"/>
      <c r="AC4" s="10"/>
      <c r="AD4" s="10"/>
      <c r="AE4" s="10"/>
      <c r="AF4" s="10"/>
    </row>
    <row r="5">
      <c r="A5" s="13" t="s">
        <v>12</v>
      </c>
      <c r="B5" s="14">
        <v>2021.0</v>
      </c>
      <c r="C5" s="15">
        <v>44287.0</v>
      </c>
      <c r="D5" s="8">
        <v>204760.72</v>
      </c>
      <c r="E5" s="8">
        <v>209555.36</v>
      </c>
      <c r="F5" s="8">
        <f t="shared" si="1"/>
        <v>-4794.64</v>
      </c>
      <c r="G5" s="9" t="str">
        <f>IFERROR(__xludf.DUMMYFUNCTION("""COMPUTED_VALUE"""),"Kee Sung Agriculture (M) Sdn Bhd")</f>
        <v>Kee Sung Agriculture (M) Sdn Bhd</v>
      </c>
      <c r="H5" s="7">
        <f>IFERROR(__xludf.DUMMYFUNCTION("""COMPUTED_VALUE"""),21210.0)</f>
        <v>21210</v>
      </c>
      <c r="I5" s="16">
        <f>IFERROR(__xludf.DUMMYFUNCTION("""COMPUTED_VALUE"""),2.03)</f>
        <v>2.03</v>
      </c>
      <c r="J5" s="16">
        <f>IFERROR(__xludf.DUMMYFUNCTION("""COMPUTED_VALUE"""),1381.0)</f>
        <v>1381</v>
      </c>
      <c r="K5" s="17">
        <f>IFERROR(__xludf.DUMMYFUNCTION("""COMPUTED_VALUE"""),0.06511079679396511)</f>
        <v>0.06511079679</v>
      </c>
      <c r="L5" s="17">
        <f>IFERROR(__xludf.DUMMYFUNCTION("""COMPUTED_VALUE"""),0.9348892032060349)</f>
        <v>0.9348892032</v>
      </c>
      <c r="M5" s="18">
        <f>IFERROR(__xludf.DUMMYFUNCTION("""COMPUTED_VALUE"""),35.0)</f>
        <v>35</v>
      </c>
      <c r="N5" s="7">
        <f>IFERROR(__xludf.DUMMYFUNCTION("""COMPUTED_VALUE"""),1443.6675599999999)</f>
        <v>1443.66756</v>
      </c>
      <c r="O5" s="9">
        <f>IFERROR(__xludf.DUMMYFUNCTION("""COMPUTED_VALUE"""),1.74)</f>
        <v>1.74</v>
      </c>
      <c r="P5" s="7">
        <f>IFERROR(__xludf.DUMMYFUNCTION("""COMPUTED_VALUE"""),19829.0)</f>
        <v>19829</v>
      </c>
      <c r="Q5" s="8">
        <f>IFERROR(__xludf.DUMMYFUNCTION("""COMPUTED_VALUE"""),41484.7)</f>
        <v>41484.7</v>
      </c>
      <c r="R5" s="8">
        <f>IFERROR(__xludf.DUMMYFUNCTION("""COMPUTED_VALUE"""),2.0921226486459226)</f>
        <v>2.092122649</v>
      </c>
      <c r="S5" s="8">
        <f>IFERROR(__xludf.DUMMYFUNCTION("""COMPUTED_VALUE"""),10.326326088052852)</f>
        <v>10.32632609</v>
      </c>
      <c r="T5" s="19">
        <f>IFERROR(__xludf.DUMMYFUNCTION("""COMPUTED_VALUE"""),10.568125472792376)</f>
        <v>10.56812547</v>
      </c>
      <c r="U5" s="19">
        <f>IFERROR(__xludf.DUMMYFUNCTION("""COMPUTED_VALUE"""),-0.24179938473952411)</f>
        <v>-0.2417993847</v>
      </c>
      <c r="V5" s="19">
        <f>IFERROR(__xludf.DUMMYFUNCTION("""COMPUTED_VALUE"""),4.935812962369259)</f>
        <v>4.935812962</v>
      </c>
      <c r="W5" s="19">
        <f>IFERROR(__xludf.DUMMYFUNCTION("""COMPUTED_VALUE"""),5.051389066330479)</f>
        <v>5.051389066</v>
      </c>
      <c r="X5" s="19">
        <f>IFERROR(__xludf.DUMMYFUNCTION("""COMPUTED_VALUE"""),-0.11557610396121998)</f>
        <v>-0.115576104</v>
      </c>
      <c r="Y5" s="19">
        <f>IFERROR(__xludf.DUMMYFUNCTION("""COMPUTED_VALUE"""),-0.24179938473952362)</f>
        <v>-0.2417993847</v>
      </c>
      <c r="Z5" s="11">
        <f>IFERROR(__xludf.DUMMYFUNCTION("""COMPUTED_VALUE"""),281.0205281611905)</f>
        <v>281.0205282</v>
      </c>
      <c r="AA5" s="20" t="str">
        <f>IFERROR(__xludf.DUMMYFUNCTION("""COMPUTED_VALUE"""),"VERY BAD")</f>
        <v>VERY BAD</v>
      </c>
      <c r="AB5" s="10"/>
      <c r="AC5" s="10"/>
      <c r="AD5" s="10"/>
      <c r="AE5" s="10"/>
      <c r="AF5" s="10"/>
    </row>
    <row r="6">
      <c r="A6" s="13" t="s">
        <v>12</v>
      </c>
      <c r="B6" s="14">
        <v>2021.0</v>
      </c>
      <c r="C6" s="15">
        <v>44317.0</v>
      </c>
      <c r="D6" s="8">
        <v>317232.55</v>
      </c>
      <c r="E6" s="8">
        <v>308007.66</v>
      </c>
      <c r="F6" s="8">
        <f t="shared" si="1"/>
        <v>9224.89</v>
      </c>
      <c r="G6" s="9" t="str">
        <f>IFERROR(__xludf.DUMMYFUNCTION("""COMPUTED_VALUE"""),"Kee Sung Agriculture (M) Sdn Bhd")</f>
        <v>Kee Sung Agriculture (M) Sdn Bhd</v>
      </c>
      <c r="H6" s="7">
        <f>IFERROR(__xludf.DUMMYFUNCTION("""COMPUTED_VALUE"""),33000.0)</f>
        <v>33000</v>
      </c>
      <c r="I6" s="16">
        <f>IFERROR(__xludf.DUMMYFUNCTION("""COMPUTED_VALUE"""),2.03)</f>
        <v>2.03</v>
      </c>
      <c r="J6" s="16">
        <f>IFERROR(__xludf.DUMMYFUNCTION("""COMPUTED_VALUE"""),2024.0)</f>
        <v>2024</v>
      </c>
      <c r="K6" s="17">
        <f>IFERROR(__xludf.DUMMYFUNCTION("""COMPUTED_VALUE"""),0.06133333333333333)</f>
        <v>0.06133333333</v>
      </c>
      <c r="L6" s="17">
        <f>IFERROR(__xludf.DUMMYFUNCTION("""COMPUTED_VALUE"""),0.9386666666666666)</f>
        <v>0.9386666667</v>
      </c>
      <c r="M6" s="18">
        <f>IFERROR(__xludf.DUMMYFUNCTION("""COMPUTED_VALUE"""),35.0)</f>
        <v>35</v>
      </c>
      <c r="N6" s="7">
        <f>IFERROR(__xludf.DUMMYFUNCTION("""COMPUTED_VALUE"""),2218.2837600000003)</f>
        <v>2218.28376</v>
      </c>
      <c r="O6" s="9">
        <f>IFERROR(__xludf.DUMMYFUNCTION("""COMPUTED_VALUE"""),1.61)</f>
        <v>1.61</v>
      </c>
      <c r="P6" s="7">
        <f>IFERROR(__xludf.DUMMYFUNCTION("""COMPUTED_VALUE"""),30976.0)</f>
        <v>30976</v>
      </c>
      <c r="Q6" s="8">
        <f>IFERROR(__xludf.DUMMYFUNCTION("""COMPUTED_VALUE"""),68890.8)</f>
        <v>68890.8</v>
      </c>
      <c r="R6" s="8">
        <f>IFERROR(__xludf.DUMMYFUNCTION("""COMPUTED_VALUE"""),2.224005681818182)</f>
        <v>2.224005682</v>
      </c>
      <c r="S6" s="8">
        <f>IFERROR(__xludf.DUMMYFUNCTION("""COMPUTED_VALUE"""),10.241236763946281)</f>
        <v>10.24123676</v>
      </c>
      <c r="T6" s="19">
        <f>IFERROR(__xludf.DUMMYFUNCTION("""COMPUTED_VALUE"""),9.943429106404958)</f>
        <v>9.943429106</v>
      </c>
      <c r="U6" s="19">
        <f>IFERROR(__xludf.DUMMYFUNCTION("""COMPUTED_VALUE"""),0.2978076575413233)</f>
        <v>0.2978076575</v>
      </c>
      <c r="V6" s="19">
        <f>IFERROR(__xludf.DUMMYFUNCTION("""COMPUTED_VALUE"""),4.6048608812787775)</f>
        <v>4.604860881</v>
      </c>
      <c r="W6" s="19">
        <f>IFERROR(__xludf.DUMMYFUNCTION("""COMPUTED_VALUE"""),4.470954902541413)</f>
        <v>4.470954903</v>
      </c>
      <c r="X6" s="19">
        <f>IFERROR(__xludf.DUMMYFUNCTION("""COMPUTED_VALUE"""),0.13390597873736443)</f>
        <v>0.1339059787</v>
      </c>
      <c r="Y6" s="19">
        <f>IFERROR(__xludf.DUMMYFUNCTION("""COMPUTED_VALUE"""),0.29780765754132277)</f>
        <v>0.2978076575</v>
      </c>
      <c r="Z6" s="11">
        <f>IFERROR(__xludf.DUMMYFUNCTION("""COMPUTED_VALUE"""),324.1614906832298)</f>
        <v>324.1614907</v>
      </c>
      <c r="AA6" s="20" t="str">
        <f>IFERROR(__xludf.DUMMYFUNCTION("""COMPUTED_VALUE"""),"VERY BAD")</f>
        <v>VERY BAD</v>
      </c>
      <c r="AB6" s="10"/>
      <c r="AC6" s="10"/>
      <c r="AD6" s="10"/>
      <c r="AE6" s="10"/>
      <c r="AF6" s="10"/>
    </row>
    <row r="7">
      <c r="A7" s="13" t="s">
        <v>12</v>
      </c>
      <c r="B7" s="14">
        <v>2021.0</v>
      </c>
      <c r="C7" s="15">
        <v>44348.0</v>
      </c>
      <c r="D7" s="8">
        <v>321999.65</v>
      </c>
      <c r="E7" s="8">
        <v>335947.32</v>
      </c>
      <c r="F7" s="8">
        <f t="shared" si="1"/>
        <v>-13947.67</v>
      </c>
      <c r="G7" s="9" t="str">
        <f>IFERROR(__xludf.DUMMYFUNCTION("""COMPUTED_VALUE"""),"Kee Sung Agriculture (M) Sdn Bhd")</f>
        <v>Kee Sung Agriculture (M) Sdn Bhd</v>
      </c>
      <c r="H7" s="7">
        <f>IFERROR(__xludf.DUMMYFUNCTION("""COMPUTED_VALUE"""),35600.0)</f>
        <v>35600</v>
      </c>
      <c r="I7" s="16">
        <f>IFERROR(__xludf.DUMMYFUNCTION("""COMPUTED_VALUE"""),2.03)</f>
        <v>2.03</v>
      </c>
      <c r="J7" s="16">
        <f>IFERROR(__xludf.DUMMYFUNCTION("""COMPUTED_VALUE"""),1550.0)</f>
        <v>1550</v>
      </c>
      <c r="K7" s="17">
        <f>IFERROR(__xludf.DUMMYFUNCTION("""COMPUTED_VALUE"""),0.04353932584269663)</f>
        <v>0.04353932584</v>
      </c>
      <c r="L7" s="17">
        <f>IFERROR(__xludf.DUMMYFUNCTION("""COMPUTED_VALUE"""),0.9564606741573034)</f>
        <v>0.9564606742</v>
      </c>
      <c r="M7" s="18">
        <f>IFERROR(__xludf.DUMMYFUNCTION("""COMPUTED_VALUE"""),35.0)</f>
        <v>35</v>
      </c>
      <c r="N7" s="7">
        <f>IFERROR(__xludf.DUMMYFUNCTION("""COMPUTED_VALUE"""),2402.4894600000002)</f>
        <v>2402.48946</v>
      </c>
      <c r="O7" s="9">
        <f>IFERROR(__xludf.DUMMYFUNCTION("""COMPUTED_VALUE"""),1.55)</f>
        <v>1.55</v>
      </c>
      <c r="P7" s="7">
        <f>IFERROR(__xludf.DUMMYFUNCTION("""COMPUTED_VALUE"""),34050.0)</f>
        <v>34050</v>
      </c>
      <c r="Q7" s="8">
        <f>IFERROR(__xludf.DUMMYFUNCTION("""COMPUTED_VALUE"""),77499.66)</f>
        <v>77499.66</v>
      </c>
      <c r="R7" s="8">
        <f>IFERROR(__xludf.DUMMYFUNCTION("""COMPUTED_VALUE"""),2.276054625550661)</f>
        <v>2.276054626</v>
      </c>
      <c r="S7" s="8">
        <f>IFERROR(__xludf.DUMMYFUNCTION("""COMPUTED_VALUE"""),9.45667107195301)</f>
        <v>9.456671072</v>
      </c>
      <c r="T7" s="19">
        <f>IFERROR(__xludf.DUMMYFUNCTION("""COMPUTED_VALUE"""),9.866294273127753)</f>
        <v>9.866294273</v>
      </c>
      <c r="U7" s="19">
        <f>IFERROR(__xludf.DUMMYFUNCTION("""COMPUTED_VALUE"""),-0.4096232011747425)</f>
        <v>-0.4096232012</v>
      </c>
      <c r="V7" s="19">
        <f>IFERROR(__xludf.DUMMYFUNCTION("""COMPUTED_VALUE"""),4.154852421288042)</f>
        <v>4.154852421</v>
      </c>
      <c r="W7" s="19">
        <f>IFERROR(__xludf.DUMMYFUNCTION("""COMPUTED_VALUE"""),4.3348231463208995)</f>
        <v>4.334823146</v>
      </c>
      <c r="X7" s="19">
        <f>IFERROR(__xludf.DUMMYFUNCTION("""COMPUTED_VALUE"""),-0.17997072503285771)</f>
        <v>-0.179970725</v>
      </c>
      <c r="Y7" s="19">
        <f>IFERROR(__xludf.DUMMYFUNCTION("""COMPUTED_VALUE"""),-0.40962320117474255)</f>
        <v>-0.4096232012</v>
      </c>
      <c r="Z7" s="11">
        <f>IFERROR(__xludf.DUMMYFUNCTION("""COMPUTED_VALUE"""),351.12205509242483)</f>
        <v>351.1220551</v>
      </c>
      <c r="AA7" s="20" t="str">
        <f>IFERROR(__xludf.DUMMYFUNCTION("""COMPUTED_VALUE"""),"VERY BAD")</f>
        <v>VERY BAD</v>
      </c>
      <c r="AB7" s="10"/>
      <c r="AC7" s="10"/>
      <c r="AD7" s="10"/>
      <c r="AE7" s="10"/>
      <c r="AF7" s="10"/>
    </row>
    <row r="8">
      <c r="A8" s="13" t="s">
        <v>12</v>
      </c>
      <c r="B8" s="14">
        <v>2022.0</v>
      </c>
      <c r="C8" s="15">
        <v>44562.0</v>
      </c>
      <c r="D8" s="8">
        <v>454199.97</v>
      </c>
      <c r="E8" s="8">
        <v>435150.07</v>
      </c>
      <c r="F8" s="8">
        <f t="shared" si="1"/>
        <v>19049.9</v>
      </c>
      <c r="G8" s="9" t="str">
        <f>IFERROR(__xludf.DUMMYFUNCTION("TRANSPOSE(IMPORTRANGE(""1o4Ac6NI0SfLibsumFt9f9lHwJFVrF2ykccRsQvuxGAI"", ""2022!C49:H69""))"),"Kee Sung Agriculture (M) Sdn Bhd")</f>
        <v>Kee Sung Agriculture (M) Sdn Bhd</v>
      </c>
      <c r="H8" s="7">
        <f>IFERROR(__xludf.DUMMYFUNCTION("""COMPUTED_VALUE"""),33200.0)</f>
        <v>33200</v>
      </c>
      <c r="I8" s="16">
        <f>IFERROR(__xludf.DUMMYFUNCTION("""COMPUTED_VALUE"""),2.03)</f>
        <v>2.03</v>
      </c>
      <c r="J8" s="16">
        <f>IFERROR(__xludf.DUMMYFUNCTION("""COMPUTED_VALUE"""),2690.0)</f>
        <v>2690</v>
      </c>
      <c r="K8" s="17">
        <f>IFERROR(__xludf.DUMMYFUNCTION("""COMPUTED_VALUE"""),0.08102409638554217)</f>
        <v>0.08102409639</v>
      </c>
      <c r="L8" s="17">
        <f>IFERROR(__xludf.DUMMYFUNCTION("""COMPUTED_VALUE"""),0.9189759036144578)</f>
        <v>0.9189759036</v>
      </c>
      <c r="M8" s="18">
        <f>IFERROR(__xludf.DUMMYFUNCTION("""COMPUTED_VALUE"""),35.0)</f>
        <v>35</v>
      </c>
      <c r="N8" s="7">
        <f>IFERROR(__xludf.DUMMYFUNCTION("""COMPUTED_VALUE"""),2022.7655359999999)</f>
        <v>2022.765536</v>
      </c>
      <c r="O8" s="9">
        <f>IFERROR(__xludf.DUMMYFUNCTION("""COMPUTED_VALUE"""),1.52)</f>
        <v>1.52</v>
      </c>
      <c r="P8" s="7">
        <f>IFERROR(__xludf.DUMMYFUNCTION("""COMPUTED_VALUE"""),30510.0)</f>
        <v>30510</v>
      </c>
      <c r="Q8" s="8">
        <f>IFERROR(__xludf.DUMMYFUNCTION("""COMPUTED_VALUE"""),66538.34)</f>
        <v>66538.34</v>
      </c>
      <c r="R8" s="8">
        <f>IFERROR(__xludf.DUMMYFUNCTION("""COMPUTED_VALUE"""),2.1808698787282856)</f>
        <v>2.180869879</v>
      </c>
      <c r="S8" s="8">
        <f>IFERROR(__xludf.DUMMYFUNCTION("""COMPUTED_VALUE"""),14.886921337266472)</f>
        <v>14.88692134</v>
      </c>
      <c r="T8" s="19">
        <f>IFERROR(__xludf.DUMMYFUNCTION("""COMPUTED_VALUE"""),14.262539167486068)</f>
        <v>14.26253917</v>
      </c>
      <c r="U8" s="19">
        <f>IFERROR(__xludf.DUMMYFUNCTION("""COMPUTED_VALUE"""),0.6243821697804037)</f>
        <v>0.6243821698</v>
      </c>
      <c r="V8" s="19">
        <f>IFERROR(__xludf.DUMMYFUNCTION("""COMPUTED_VALUE"""),6.578531565410259)</f>
        <v>6.578531565</v>
      </c>
      <c r="W8" s="19">
        <f>IFERROR(__xludf.DUMMYFUNCTION("""COMPUTED_VALUE"""),6.539839587221442)</f>
        <v>6.539839587</v>
      </c>
      <c r="X8" s="19">
        <f>IFERROR(__xludf.DUMMYFUNCTION("""COMPUTED_VALUE"""),0.03869197818881709)</f>
        <v>0.03869197819</v>
      </c>
      <c r="Y8" s="19">
        <f>IFERROR(__xludf.DUMMYFUNCTION("""COMPUTED_VALUE"""),0.6243821697804025)</f>
        <v>0.6243821698</v>
      </c>
      <c r="Z8" s="11">
        <f>IFERROR(__xludf.DUMMYFUNCTION("""COMPUTED_VALUE"""),329.63270846544066)</f>
        <v>329.6327085</v>
      </c>
      <c r="AA8" s="20" t="str">
        <f>IFERROR(__xludf.DUMMYFUNCTION("""COMPUTED_VALUE"""),"JUST AVERAGE")</f>
        <v>JUST AVERAGE</v>
      </c>
      <c r="AB8" s="10"/>
      <c r="AC8" s="10"/>
      <c r="AD8" s="10"/>
      <c r="AE8" s="10"/>
      <c r="AF8" s="10"/>
    </row>
    <row r="9">
      <c r="A9" s="13" t="s">
        <v>12</v>
      </c>
      <c r="B9" s="14">
        <v>2022.0</v>
      </c>
      <c r="C9" s="15">
        <v>44593.0</v>
      </c>
      <c r="D9" s="8">
        <v>504314.55</v>
      </c>
      <c r="E9" s="8">
        <v>485507.61</v>
      </c>
      <c r="F9" s="8">
        <f t="shared" si="1"/>
        <v>18806.94</v>
      </c>
      <c r="G9" s="9" t="str">
        <f>IFERROR(__xludf.DUMMYFUNCTION("""COMPUTED_VALUE"""),"Kee Sung Agriculture (M) Sdn Bhd")</f>
        <v>Kee Sung Agriculture (M) Sdn Bhd</v>
      </c>
      <c r="H9" s="7">
        <f>IFERROR(__xludf.DUMMYFUNCTION("""COMPUTED_VALUE"""),35900.0)</f>
        <v>35900</v>
      </c>
      <c r="I9" s="16">
        <f>IFERROR(__xludf.DUMMYFUNCTION("""COMPUTED_VALUE"""),2.03)</f>
        <v>2.03</v>
      </c>
      <c r="J9" s="16">
        <f>IFERROR(__xludf.DUMMYFUNCTION("""COMPUTED_VALUE"""),2347.0)</f>
        <v>2347</v>
      </c>
      <c r="K9" s="17">
        <f>IFERROR(__xludf.DUMMYFUNCTION("""COMPUTED_VALUE"""),0.06537604456824513)</f>
        <v>0.06537604457</v>
      </c>
      <c r="L9" s="17">
        <f>IFERROR(__xludf.DUMMYFUNCTION("""COMPUTED_VALUE"""),0.9346239554317549)</f>
        <v>0.9346239554</v>
      </c>
      <c r="M9" s="18">
        <f>IFERROR(__xludf.DUMMYFUNCTION("""COMPUTED_VALUE"""),35.0)</f>
        <v>35</v>
      </c>
      <c r="N9" s="7">
        <f>IFERROR(__xludf.DUMMYFUNCTION("""COMPUTED_VALUE"""),2238.47316)</f>
        <v>2238.47316</v>
      </c>
      <c r="O9" s="9">
        <f>IFERROR(__xludf.DUMMYFUNCTION("""COMPUTED_VALUE"""),1.61)</f>
        <v>1.61</v>
      </c>
      <c r="P9" s="7">
        <f>IFERROR(__xludf.DUMMYFUNCTION("""COMPUTED_VALUE"""),33553.0)</f>
        <v>33553</v>
      </c>
      <c r="Q9" s="8">
        <f>IFERROR(__xludf.DUMMYFUNCTION("""COMPUTED_VALUE"""),69517.8)</f>
        <v>69517.8</v>
      </c>
      <c r="R9" s="8">
        <f>IFERROR(__xludf.DUMMYFUNCTION("""COMPUTED_VALUE"""),2.071880308765237)</f>
        <v>2.071880309</v>
      </c>
      <c r="S9" s="8">
        <f>IFERROR(__xludf.DUMMYFUNCTION("""COMPUTED_VALUE"""),15.030386254582304)</f>
        <v>15.03038625</v>
      </c>
      <c r="T9" s="19">
        <f>IFERROR(__xludf.DUMMYFUNCTION("""COMPUTED_VALUE"""),14.469871844544452)</f>
        <v>14.46987184</v>
      </c>
      <c r="U9" s="19">
        <f>IFERROR(__xludf.DUMMYFUNCTION("""COMPUTED_VALUE"""),0.5605144100378521)</f>
        <v>0.56051441</v>
      </c>
      <c r="V9" s="19">
        <f>IFERROR(__xludf.DUMMYFUNCTION("""COMPUTED_VALUE"""),7.254295302785762)</f>
        <v>7.254295303</v>
      </c>
      <c r="W9" s="19">
        <f>IFERROR(__xludf.DUMMYFUNCTION("""COMPUTED_VALUE"""),6.983932316615312)</f>
        <v>6.983932317</v>
      </c>
      <c r="X9" s="19">
        <f>IFERROR(__xludf.DUMMYFUNCTION("""COMPUTED_VALUE"""),0.27036298617044974)</f>
        <v>0.2703629862</v>
      </c>
      <c r="Y9" s="19">
        <f>IFERROR(__xludf.DUMMYFUNCTION("""COMPUTED_VALUE"""),0.5605144100378524)</f>
        <v>0.56051441</v>
      </c>
      <c r="Z9" s="11">
        <f>IFERROR(__xludf.DUMMYFUNCTION("""COMPUTED_VALUE"""),300.6877281613869)</f>
        <v>300.6877282</v>
      </c>
      <c r="AA9" s="20" t="str">
        <f>IFERROR(__xludf.DUMMYFUNCTION("""COMPUTED_VALUE"""),"VERY BAD")</f>
        <v>VERY BAD</v>
      </c>
      <c r="AB9" s="10"/>
      <c r="AC9" s="10"/>
      <c r="AD9" s="10"/>
      <c r="AE9" s="10"/>
      <c r="AF9" s="10"/>
    </row>
    <row r="10">
      <c r="A10" s="13" t="s">
        <v>12</v>
      </c>
      <c r="B10" s="14">
        <v>2022.0</v>
      </c>
      <c r="C10" s="15">
        <v>44621.0</v>
      </c>
      <c r="D10" s="8">
        <v>522560.9</v>
      </c>
      <c r="E10" s="8">
        <v>460750.19</v>
      </c>
      <c r="F10" s="8">
        <f t="shared" si="1"/>
        <v>61810.71</v>
      </c>
      <c r="G10" s="9" t="str">
        <f>IFERROR(__xludf.DUMMYFUNCTION("""COMPUTED_VALUE"""),"Kee Sung Agriculture (M) Sdn Bhd")</f>
        <v>Kee Sung Agriculture (M) Sdn Bhd</v>
      </c>
      <c r="H10" s="7">
        <f>IFERROR(__xludf.DUMMYFUNCTION("""COMPUTED_VALUE"""),34000.0)</f>
        <v>34000</v>
      </c>
      <c r="I10" s="16">
        <f>IFERROR(__xludf.DUMMYFUNCTION("""COMPUTED_VALUE"""),2.03)</f>
        <v>2.03</v>
      </c>
      <c r="J10" s="16">
        <f>IFERROR(__xludf.DUMMYFUNCTION("""COMPUTED_VALUE"""),1722.0)</f>
        <v>1722</v>
      </c>
      <c r="K10" s="17">
        <f>IFERROR(__xludf.DUMMYFUNCTION("""COMPUTED_VALUE"""),0.05064705882352941)</f>
        <v>0.05064705882</v>
      </c>
      <c r="L10" s="17">
        <f>IFERROR(__xludf.DUMMYFUNCTION("""COMPUTED_VALUE"""),0.9493529411764706)</f>
        <v>0.9493529412</v>
      </c>
      <c r="M10" s="18">
        <f>IFERROR(__xludf.DUMMYFUNCTION("""COMPUTED_VALUE"""),35.0)</f>
        <v>35</v>
      </c>
      <c r="N10" s="7">
        <f>IFERROR(__xludf.DUMMYFUNCTION("""COMPUTED_VALUE"""),2223.587556)</f>
        <v>2223.587556</v>
      </c>
      <c r="O10" s="9">
        <f>IFERROR(__xludf.DUMMYFUNCTION("""COMPUTED_VALUE"""),1.71)</f>
        <v>1.71</v>
      </c>
      <c r="P10" s="7">
        <f>IFERROR(__xludf.DUMMYFUNCTION("""COMPUTED_VALUE"""),32278.0)</f>
        <v>32278</v>
      </c>
      <c r="Q10" s="8">
        <f>IFERROR(__xludf.DUMMYFUNCTION("""COMPUTED_VALUE"""),65017.18)</f>
        <v>65017.18</v>
      </c>
      <c r="R10" s="8">
        <f>IFERROR(__xludf.DUMMYFUNCTION("""COMPUTED_VALUE"""),2.0142877501703946)</f>
        <v>2.01428775</v>
      </c>
      <c r="S10" s="8">
        <f>IFERROR(__xludf.DUMMYFUNCTION("""COMPUTED_VALUE"""),16.18938286139166)</f>
        <v>16.18938286</v>
      </c>
      <c r="T10" s="8">
        <f>IFERROR(__xludf.DUMMYFUNCTION("""COMPUTED_VALUE"""),14.27443428960902)</f>
        <v>14.27443429</v>
      </c>
      <c r="U10" s="8">
        <f>IFERROR(__xludf.DUMMYFUNCTION("""COMPUTED_VALUE"""),1.9149485717826398)</f>
        <v>1.914948572</v>
      </c>
      <c r="V10" s="8">
        <f>IFERROR(__xludf.DUMMYFUNCTION("""COMPUTED_VALUE"""),7.38703401162585)</f>
        <v>7.387034012</v>
      </c>
      <c r="W10" s="19">
        <f>IFERROR(__xludf.DUMMYFUNCTION("""COMPUTED_VALUE"""),7.086591420913671)</f>
        <v>7.086591421</v>
      </c>
      <c r="X10" s="19">
        <f>IFERROR(__xludf.DUMMYFUNCTION("""COMPUTED_VALUE"""),0.30044259071217905)</f>
        <v>0.3004425907</v>
      </c>
      <c r="Y10" s="19">
        <f>IFERROR(__xludf.DUMMYFUNCTION("""COMPUTED_VALUE"""),1.9149485717826409)</f>
        <v>1.914948572</v>
      </c>
      <c r="Z10" s="11">
        <f>IFERROR(__xludf.DUMMYFUNCTION("""COMPUTED_VALUE"""),279.57163742690057)</f>
        <v>279.5716374</v>
      </c>
      <c r="AA10" s="20" t="str">
        <f>IFERROR(__xludf.DUMMYFUNCTION("""COMPUTED_VALUE"""),"VERY GOOD")</f>
        <v>VERY GOOD</v>
      </c>
      <c r="AB10" s="10"/>
      <c r="AC10" s="10"/>
      <c r="AD10" s="10"/>
      <c r="AE10" s="10"/>
      <c r="AF10" s="10"/>
    </row>
    <row r="11">
      <c r="A11" s="13" t="s">
        <v>12</v>
      </c>
      <c r="B11" s="14">
        <v>2022.0</v>
      </c>
      <c r="C11" s="15">
        <v>44652.0</v>
      </c>
      <c r="D11" s="8">
        <v>442110.14</v>
      </c>
      <c r="E11" s="8">
        <v>426068.25</v>
      </c>
      <c r="F11" s="8">
        <f t="shared" si="1"/>
        <v>16041.89</v>
      </c>
      <c r="G11" s="9" t="str">
        <f>IFERROR(__xludf.DUMMYFUNCTION("""COMPUTED_VALUE"""),"Kee Sung Agriculture (M) Sdn Bhd")</f>
        <v>Kee Sung Agriculture (M) Sdn Bhd</v>
      </c>
      <c r="H11" s="7">
        <f>IFERROR(__xludf.DUMMYFUNCTION("""COMPUTED_VALUE"""),37500.0)</f>
        <v>37500</v>
      </c>
      <c r="I11" s="16">
        <f>IFERROR(__xludf.DUMMYFUNCTION("""COMPUTED_VALUE"""),2.03)</f>
        <v>2.03</v>
      </c>
      <c r="J11" s="16">
        <f>IFERROR(__xludf.DUMMYFUNCTION("""COMPUTED_VALUE"""),2541.0)</f>
        <v>2541</v>
      </c>
      <c r="K11" s="17">
        <f>IFERROR(__xludf.DUMMYFUNCTION("""COMPUTED_VALUE"""),0.06776)</f>
        <v>0.06776</v>
      </c>
      <c r="L11" s="17">
        <f>IFERROR(__xludf.DUMMYFUNCTION("""COMPUTED_VALUE"""),0.93224)</f>
        <v>0.93224</v>
      </c>
      <c r="M11" s="18">
        <f>IFERROR(__xludf.DUMMYFUNCTION("""COMPUTED_VALUE"""),35.0)</f>
        <v>35</v>
      </c>
      <c r="N11" s="7">
        <f>IFERROR(__xludf.DUMMYFUNCTION("""COMPUTED_VALUE"""),2028.0994999999998)</f>
        <v>2028.0995</v>
      </c>
      <c r="O11" s="9">
        <f>IFERROR(__xludf.DUMMYFUNCTION("""COMPUTED_VALUE"""),1.75)</f>
        <v>1.75</v>
      </c>
      <c r="P11" s="7">
        <f>IFERROR(__xludf.DUMMYFUNCTION("""COMPUTED_VALUE"""),31959.0)</f>
        <v>31959</v>
      </c>
      <c r="Q11" s="8">
        <f>IFERROR(__xludf.DUMMYFUNCTION("""COMPUTED_VALUE"""),57945.7)</f>
        <v>57945.7</v>
      </c>
      <c r="R11" s="8">
        <f>IFERROR(__xludf.DUMMYFUNCTION("""COMPUTED_VALUE"""),1.8131261929346976)</f>
        <v>1.813126193</v>
      </c>
      <c r="S11" s="8">
        <f>IFERROR(__xludf.DUMMYFUNCTION("""COMPUTED_VALUE"""),15.106242998842268)</f>
        <v>15.106243</v>
      </c>
      <c r="T11" s="8">
        <f>IFERROR(__xludf.DUMMYFUNCTION("""COMPUTED_VALUE"""),13.331714071153664)</f>
        <v>13.33171407</v>
      </c>
      <c r="U11" s="8">
        <f>IFERROR(__xludf.DUMMYFUNCTION("""COMPUTED_VALUE"""),1.7745289276886034)</f>
        <v>1.774528928</v>
      </c>
      <c r="V11" s="8">
        <f>IFERROR(__xludf.DUMMYFUNCTION("""COMPUTED_VALUE"""),7.629731628058683)</f>
        <v>7.629731628</v>
      </c>
      <c r="W11" s="8">
        <f>IFERROR(__xludf.DUMMYFUNCTION("""COMPUTED_VALUE"""),7.352888134926318)</f>
        <v>7.352888135</v>
      </c>
      <c r="X11" s="19">
        <f>IFERROR(__xludf.DUMMYFUNCTION("""COMPUTED_VALUE"""),0.27684349313236467)</f>
        <v>0.2768434931</v>
      </c>
      <c r="Y11" s="19">
        <f>IFERROR(__xludf.DUMMYFUNCTION("""COMPUTED_VALUE"""),0.5019521887418277)</f>
        <v>0.5019521887</v>
      </c>
      <c r="Z11" s="11">
        <f>IFERROR(__xludf.DUMMYFUNCTION("""COMPUTED_VALUE"""),220.7455238095238)</f>
        <v>220.7455238</v>
      </c>
      <c r="AA11" s="20" t="str">
        <f>IFERROR(__xludf.DUMMYFUNCTION("""COMPUTED_VALUE"""),"VERY BAD")</f>
        <v>VERY BAD</v>
      </c>
      <c r="AB11" s="10"/>
      <c r="AC11" s="10"/>
      <c r="AD11" s="10"/>
      <c r="AE11" s="10"/>
      <c r="AF11" s="10"/>
    </row>
    <row r="12">
      <c r="A12" s="13" t="s">
        <v>12</v>
      </c>
      <c r="B12" s="14">
        <v>2022.0</v>
      </c>
      <c r="C12" s="15">
        <v>44682.0</v>
      </c>
      <c r="D12" s="8">
        <v>341768.96</v>
      </c>
      <c r="E12" s="8">
        <v>396587.49</v>
      </c>
      <c r="F12" s="8">
        <f t="shared" si="1"/>
        <v>-54818.53</v>
      </c>
      <c r="G12" s="9" t="str">
        <f>IFERROR(__xludf.DUMMYFUNCTION("""COMPUTED_VALUE"""),"Kee Sung Agriculture (M) Sdn Bhd")</f>
        <v>Kee Sung Agriculture (M) Sdn Bhd</v>
      </c>
      <c r="H12" s="7">
        <f>IFERROR(__xludf.DUMMYFUNCTION("""COMPUTED_VALUE"""),33000.0)</f>
        <v>33000</v>
      </c>
      <c r="I12" s="16">
        <f>IFERROR(__xludf.DUMMYFUNCTION("""COMPUTED_VALUE"""),2.03)</f>
        <v>2.03</v>
      </c>
      <c r="J12" s="16">
        <f>IFERROR(__xludf.DUMMYFUNCTION("""COMPUTED_VALUE"""),2024.0)</f>
        <v>2024</v>
      </c>
      <c r="K12" s="17">
        <f>IFERROR(__xludf.DUMMYFUNCTION("""COMPUTED_VALUE"""),0.06133333333333333)</f>
        <v>0.06133333333</v>
      </c>
      <c r="L12" s="17">
        <f>IFERROR(__xludf.DUMMYFUNCTION("""COMPUTED_VALUE"""),0.9386666666666666)</f>
        <v>0.9386666667</v>
      </c>
      <c r="M12" s="18">
        <f>IFERROR(__xludf.DUMMYFUNCTION("""COMPUTED_VALUE"""),35.0)</f>
        <v>35</v>
      </c>
      <c r="N12" s="7">
        <f>IFERROR(__xludf.DUMMYFUNCTION("""COMPUTED_VALUE"""),2218.2837600000003)</f>
        <v>2218.28376</v>
      </c>
      <c r="O12" s="9">
        <f>IFERROR(__xludf.DUMMYFUNCTION("""COMPUTED_VALUE"""),1.61)</f>
        <v>1.61</v>
      </c>
      <c r="P12" s="7">
        <f>IFERROR(__xludf.DUMMYFUNCTION("""COMPUTED_VALUE"""),30976.0)</f>
        <v>30976</v>
      </c>
      <c r="Q12" s="8">
        <f>IFERROR(__xludf.DUMMYFUNCTION("""COMPUTED_VALUE"""),68890.8)</f>
        <v>68890.8</v>
      </c>
      <c r="R12" s="8">
        <f>IFERROR(__xludf.DUMMYFUNCTION("""COMPUTED_VALUE"""),2.224005681818182)</f>
        <v>2.224005682</v>
      </c>
      <c r="S12" s="8">
        <f>IFERROR(__xludf.DUMMYFUNCTION("""COMPUTED_VALUE"""),11.033347107438017)</f>
        <v>11.03334711</v>
      </c>
      <c r="T12" s="19">
        <f>IFERROR(__xludf.DUMMYFUNCTION("""COMPUTED_VALUE"""),12.803056882747933)</f>
        <v>12.80305688</v>
      </c>
      <c r="U12" s="19">
        <f>IFERROR(__xludf.DUMMYFUNCTION("""COMPUTED_VALUE"""),-1.7697097753099165)</f>
        <v>-1.769709775</v>
      </c>
      <c r="V12" s="19">
        <f>IFERROR(__xludf.DUMMYFUNCTION("""COMPUTED_VALUE"""),4.961024694153646)</f>
        <v>4.961024694</v>
      </c>
      <c r="W12" s="19">
        <f>IFERROR(__xludf.DUMMYFUNCTION("""COMPUTED_VALUE"""),5.756755473880402)</f>
        <v>5.756755474</v>
      </c>
      <c r="X12" s="19">
        <f>IFERROR(__xludf.DUMMYFUNCTION("""COMPUTED_VALUE"""),-0.7957307797267559)</f>
        <v>-0.7957307797</v>
      </c>
      <c r="Y12" s="19">
        <f>IFERROR(__xludf.DUMMYFUNCTION("""COMPUTED_VALUE"""),-1.7697097753099165)</f>
        <v>-1.769709775</v>
      </c>
      <c r="Z12" s="11">
        <f>IFERROR(__xludf.DUMMYFUNCTION("""COMPUTED_VALUE"""),324.1614906832298)</f>
        <v>324.1614907</v>
      </c>
      <c r="AA12" s="20" t="str">
        <f>IFERROR(__xludf.DUMMYFUNCTION("""COMPUTED_VALUE"""),"VERY BAD")</f>
        <v>VERY BAD</v>
      </c>
      <c r="AB12" s="10"/>
      <c r="AC12" s="10"/>
      <c r="AD12" s="10"/>
      <c r="AE12" s="10"/>
      <c r="AF12" s="10"/>
    </row>
    <row r="13">
      <c r="A13" s="13" t="s">
        <v>12</v>
      </c>
      <c r="B13" s="14">
        <v>2022.0</v>
      </c>
      <c r="C13" s="15">
        <v>44713.0</v>
      </c>
      <c r="D13" s="8">
        <v>468358.18</v>
      </c>
      <c r="E13" s="8">
        <v>407561.21</v>
      </c>
      <c r="F13" s="8">
        <f t="shared" si="1"/>
        <v>60796.97</v>
      </c>
      <c r="G13" s="9" t="str">
        <f>IFERROR(__xludf.DUMMYFUNCTION("""COMPUTED_VALUE"""),"Kee Sung Agriculture (M) Sdn Bhd")</f>
        <v>Kee Sung Agriculture (M) Sdn Bhd</v>
      </c>
      <c r="H13" s="7">
        <f>IFERROR(__xludf.DUMMYFUNCTION("""COMPUTED_VALUE"""),35600.0)</f>
        <v>35600</v>
      </c>
      <c r="I13" s="16">
        <f>IFERROR(__xludf.DUMMYFUNCTION("""COMPUTED_VALUE"""),2.03)</f>
        <v>2.03</v>
      </c>
      <c r="J13" s="16">
        <f>IFERROR(__xludf.DUMMYFUNCTION("""COMPUTED_VALUE"""),1550.0)</f>
        <v>1550</v>
      </c>
      <c r="K13" s="17">
        <f>IFERROR(__xludf.DUMMYFUNCTION("""COMPUTED_VALUE"""),0.04353932584269663)</f>
        <v>0.04353932584</v>
      </c>
      <c r="L13" s="17">
        <f>IFERROR(__xludf.DUMMYFUNCTION("""COMPUTED_VALUE"""),0.9564606741573034)</f>
        <v>0.9564606742</v>
      </c>
      <c r="M13" s="18">
        <f>IFERROR(__xludf.DUMMYFUNCTION("""COMPUTED_VALUE"""),35.0)</f>
        <v>35</v>
      </c>
      <c r="N13" s="7">
        <f>IFERROR(__xludf.DUMMYFUNCTION("""COMPUTED_VALUE"""),2402.4894600000002)</f>
        <v>2402.48946</v>
      </c>
      <c r="O13" s="9">
        <f>IFERROR(__xludf.DUMMYFUNCTION("""COMPUTED_VALUE"""),1.55)</f>
        <v>1.55</v>
      </c>
      <c r="P13" s="7">
        <f>IFERROR(__xludf.DUMMYFUNCTION("""COMPUTED_VALUE"""),34050.0)</f>
        <v>34050</v>
      </c>
      <c r="Q13" s="8">
        <f>IFERROR(__xludf.DUMMYFUNCTION("""COMPUTED_VALUE"""),77499.66)</f>
        <v>77499.66</v>
      </c>
      <c r="R13" s="8">
        <f>IFERROR(__xludf.DUMMYFUNCTION("""COMPUTED_VALUE"""),2.276054625550661)</f>
        <v>2.276054626</v>
      </c>
      <c r="S13" s="8">
        <f>IFERROR(__xludf.DUMMYFUNCTION("""COMPUTED_VALUE"""),13.755012628487519)</f>
        <v>13.75501263</v>
      </c>
      <c r="T13" s="19">
        <f>IFERROR(__xludf.DUMMYFUNCTION("""COMPUTED_VALUE"""),11.96949221732746)</f>
        <v>11.96949222</v>
      </c>
      <c r="U13" s="19">
        <f>IFERROR(__xludf.DUMMYFUNCTION("""COMPUTED_VALUE"""),1.7855204111600589)</f>
        <v>1.785520411</v>
      </c>
      <c r="V13" s="19">
        <f>IFERROR(__xludf.DUMMYFUNCTION("""COMPUTED_VALUE"""),5.969130187151788)</f>
        <v>5.969130187</v>
      </c>
      <c r="W13" s="19">
        <f>IFERROR(__xludf.DUMMYFUNCTION("""COMPUTED_VALUE"""),5.2588773937846955)</f>
        <v>5.258877394</v>
      </c>
      <c r="X13" s="19">
        <f>IFERROR(__xludf.DUMMYFUNCTION("""COMPUTED_VALUE"""),0.7102527933670926)</f>
        <v>0.7102527934</v>
      </c>
      <c r="Y13" s="19">
        <f>IFERROR(__xludf.DUMMYFUNCTION("""COMPUTED_VALUE"""),1.785520411160058)</f>
        <v>1.785520411</v>
      </c>
      <c r="Z13" s="11">
        <f>IFERROR(__xludf.DUMMYFUNCTION("""COMPUTED_VALUE"""),351.12205509242483)</f>
        <v>351.1220551</v>
      </c>
      <c r="AA13" s="20" t="str">
        <f>IFERROR(__xludf.DUMMYFUNCTION("""COMPUTED_VALUE"""),"VERY GOOD")</f>
        <v>VERY GOOD</v>
      </c>
      <c r="AB13" s="10"/>
      <c r="AC13" s="10"/>
      <c r="AD13" s="10"/>
      <c r="AE13" s="10"/>
      <c r="AF13" s="10"/>
    </row>
    <row r="14">
      <c r="A14" s="13" t="s">
        <v>12</v>
      </c>
      <c r="B14" s="14">
        <v>2023.0</v>
      </c>
      <c r="C14" s="15">
        <v>44927.0</v>
      </c>
      <c r="D14" s="8">
        <v>329946.46</v>
      </c>
      <c r="E14" s="8">
        <v>320721.59</v>
      </c>
      <c r="F14" s="8">
        <f t="shared" si="1"/>
        <v>9224.87</v>
      </c>
      <c r="G14" s="9" t="str">
        <f>IFERROR(__xludf.DUMMYFUNCTION("TRANSPOSE(IMPORTRANGE(""1o4Ac6NI0SfLibsumFt9f9lHwJFVrF2ykccRsQvuxGAI"", ""2023!C49:G69""))"),"Kee Sung Agriculture (M) Sdn Bhd")</f>
        <v>Kee Sung Agriculture (M) Sdn Bhd</v>
      </c>
      <c r="H14" s="7">
        <f>IFERROR(__xludf.DUMMYFUNCTION("""COMPUTED_VALUE"""),26300.0)</f>
        <v>26300</v>
      </c>
      <c r="I14" s="16">
        <f>IFERROR(__xludf.DUMMYFUNCTION("""COMPUTED_VALUE"""),2.03)</f>
        <v>2.03</v>
      </c>
      <c r="J14" s="16">
        <f>IFERROR(__xludf.DUMMYFUNCTION("""COMPUTED_VALUE"""),1526.0)</f>
        <v>1526</v>
      </c>
      <c r="K14" s="17">
        <f>IFERROR(__xludf.DUMMYFUNCTION("""COMPUTED_VALUE"""),0.05802281368821293)</f>
        <v>0.05802281369</v>
      </c>
      <c r="L14" s="17">
        <f>IFERROR(__xludf.DUMMYFUNCTION("""COMPUTED_VALUE"""),0.9419771863117871)</f>
        <v>0.9419771863</v>
      </c>
      <c r="M14" s="18">
        <f>IFERROR(__xludf.DUMMYFUNCTION("""COMPUTED_VALUE"""),35.0)</f>
        <v>35</v>
      </c>
      <c r="N14" s="7">
        <f>IFERROR(__xludf.DUMMYFUNCTION("""COMPUTED_VALUE"""),1757.9324540000002)</f>
        <v>1757.932454</v>
      </c>
      <c r="O14" s="9">
        <f>IFERROR(__xludf.DUMMYFUNCTION("""COMPUTED_VALUE"""),1.57)</f>
        <v>1.57</v>
      </c>
      <c r="P14" s="7">
        <f>IFERROR(__xludf.DUMMYFUNCTION("""COMPUTED_VALUE"""),24774.0)</f>
        <v>24774</v>
      </c>
      <c r="Q14" s="8">
        <f>IFERROR(__xludf.DUMMYFUNCTION("""COMPUTED_VALUE"""),55985.11)</f>
        <v>55985.11</v>
      </c>
      <c r="R14" s="8">
        <f>IFERROR(__xludf.DUMMYFUNCTION("""COMPUTED_VALUE"""),2.259833292968435)</f>
        <v>2.259833293</v>
      </c>
      <c r="S14" s="8">
        <f>IFERROR(__xludf.DUMMYFUNCTION("""COMPUTED_VALUE"""),13.318255429078874)</f>
        <v>13.31825543</v>
      </c>
      <c r="T14" s="19">
        <f>IFERROR(__xludf.DUMMYFUNCTION("""COMPUTED_VALUE"""),12.945894486154838)</f>
        <v>12.94589449</v>
      </c>
      <c r="U14" s="19">
        <f>IFERROR(__xludf.DUMMYFUNCTION("""COMPUTED_VALUE"""),0.3723609429240362)</f>
        <v>0.3723609429</v>
      </c>
      <c r="V14" s="19">
        <f>IFERROR(__xludf.DUMMYFUNCTION("""COMPUTED_VALUE"""),5.893468102500826)</f>
        <v>5.893468103</v>
      </c>
      <c r="W14" s="19">
        <f>IFERROR(__xludf.DUMMYFUNCTION("""COMPUTED_VALUE"""),5.728694468940044)</f>
        <v>5.728694469</v>
      </c>
      <c r="X14" s="19">
        <f>IFERROR(__xludf.DUMMYFUNCTION("""COMPUTED_VALUE"""),0.1647736335607819)</f>
        <v>0.1647736336</v>
      </c>
      <c r="Y14" s="19">
        <f>IFERROR(__xludf.DUMMYFUNCTION("""COMPUTED_VALUE"""),0.37236094292403543)</f>
        <v>0.3723609429</v>
      </c>
      <c r="Z14" s="11">
        <f>IFERROR(__xludf.DUMMYFUNCTION("""COMPUTED_VALUE"""),387.3906108906473)</f>
        <v>387.3906109</v>
      </c>
      <c r="AA14" s="20" t="str">
        <f>IFERROR(__xludf.DUMMYFUNCTION("""COMPUTED_VALUE"""),"VERY BAD")</f>
        <v>VERY BAD</v>
      </c>
      <c r="AB14" s="10"/>
      <c r="AC14" s="10"/>
      <c r="AD14" s="10"/>
      <c r="AE14" s="10"/>
      <c r="AF14" s="10"/>
    </row>
    <row r="15">
      <c r="A15" s="13" t="s">
        <v>12</v>
      </c>
      <c r="B15" s="14">
        <v>2023.0</v>
      </c>
      <c r="C15" s="15">
        <v>44958.0</v>
      </c>
      <c r="D15" s="8">
        <v>435127.06</v>
      </c>
      <c r="E15" s="8">
        <v>432078.02</v>
      </c>
      <c r="F15" s="8">
        <f t="shared" si="1"/>
        <v>3049.04</v>
      </c>
      <c r="G15" s="9" t="str">
        <f>IFERROR(__xludf.DUMMYFUNCTION("""COMPUTED_VALUE"""),"Kee Sung Agriculture (M) Sdn Bhd")</f>
        <v>Kee Sung Agriculture (M) Sdn Bhd</v>
      </c>
      <c r="H15" s="7">
        <f>IFERROR(__xludf.DUMMYFUNCTION("""COMPUTED_VALUE"""),36400.0)</f>
        <v>36400</v>
      </c>
      <c r="I15" s="16">
        <f>IFERROR(__xludf.DUMMYFUNCTION("""COMPUTED_VALUE"""),2.03)</f>
        <v>2.03</v>
      </c>
      <c r="J15" s="16">
        <f>IFERROR(__xludf.DUMMYFUNCTION("""COMPUTED_VALUE"""),2305.0)</f>
        <v>2305</v>
      </c>
      <c r="K15" s="17">
        <f>IFERROR(__xludf.DUMMYFUNCTION("""COMPUTED_VALUE"""),0.06332417582417582)</f>
        <v>0.06332417582</v>
      </c>
      <c r="L15" s="17">
        <f>IFERROR(__xludf.DUMMYFUNCTION("""COMPUTED_VALUE"""),0.9366758241758242)</f>
        <v>0.9366758242</v>
      </c>
      <c r="M15" s="18">
        <f>IFERROR(__xludf.DUMMYFUNCTION("""COMPUTED_VALUE"""),35.0)</f>
        <v>35</v>
      </c>
      <c r="N15" s="7">
        <f>IFERROR(__xludf.DUMMYFUNCTION("""COMPUTED_VALUE"""),2365.8804)</f>
        <v>2365.8804</v>
      </c>
      <c r="O15" s="9">
        <f>IFERROR(__xludf.DUMMYFUNCTION("""COMPUTED_VALUE"""),1.64)</f>
        <v>1.64</v>
      </c>
      <c r="P15" s="7">
        <f>IFERROR(__xludf.DUMMYFUNCTION("""COMPUTED_VALUE"""),34095.0)</f>
        <v>34095</v>
      </c>
      <c r="Q15" s="8">
        <f>IFERROR(__xludf.DUMMYFUNCTION("""COMPUTED_VALUE"""),72130.5)</f>
        <v>72130.5</v>
      </c>
      <c r="R15" s="8">
        <f>IFERROR(__xludf.DUMMYFUNCTION("""COMPUTED_VALUE"""),2.1155741311042675)</f>
        <v>2.115574131</v>
      </c>
      <c r="S15" s="8">
        <f>IFERROR(__xludf.DUMMYFUNCTION("""COMPUTED_VALUE"""),12.76219562985775)</f>
        <v>12.76219563</v>
      </c>
      <c r="T15" s="19">
        <f>IFERROR(__xludf.DUMMYFUNCTION("""COMPUTED_VALUE"""),12.672767854524126)</f>
        <v>12.67276785</v>
      </c>
      <c r="U15" s="19">
        <f>IFERROR(__xludf.DUMMYFUNCTION("""COMPUTED_VALUE"""),0.08942777533362367)</f>
        <v>0.08942777533</v>
      </c>
      <c r="V15" s="19">
        <f>IFERROR(__xludf.DUMMYFUNCTION("""COMPUTED_VALUE"""),5.947526497112872)</f>
        <v>5.947526497</v>
      </c>
      <c r="W15" s="19">
        <f>IFERROR(__xludf.DUMMYFUNCTION("""COMPUTED_VALUE"""),5.990226325895427)</f>
        <v>5.990226326</v>
      </c>
      <c r="X15" s="19">
        <f>IFERROR(__xludf.DUMMYFUNCTION("""COMPUTED_VALUE"""),-0.042699828782555294)</f>
        <v>-0.04269982878</v>
      </c>
      <c r="Y15" s="19">
        <f>IFERROR(__xludf.DUMMYFUNCTION("""COMPUTED_VALUE"""),0.08942777533362431)</f>
        <v>0.08942777533</v>
      </c>
      <c r="Z15" s="11">
        <f>IFERROR(__xludf.DUMMYFUNCTION("""COMPUTED_VALUE"""),345.227725236436)</f>
        <v>345.2277252</v>
      </c>
      <c r="AA15" s="20" t="str">
        <f>IFERROR(__xludf.DUMMYFUNCTION("""COMPUTED_VALUE"""),"VERY BAD")</f>
        <v>VERY BAD</v>
      </c>
      <c r="AB15" s="10"/>
      <c r="AC15" s="10"/>
      <c r="AD15" s="10"/>
      <c r="AE15" s="10"/>
      <c r="AF15" s="10"/>
    </row>
    <row r="16">
      <c r="A16" s="13" t="s">
        <v>12</v>
      </c>
      <c r="B16" s="14">
        <v>2023.0</v>
      </c>
      <c r="C16" s="15">
        <v>44986.0</v>
      </c>
      <c r="D16" s="8">
        <v>418133.25</v>
      </c>
      <c r="E16" s="8">
        <v>406907.61</v>
      </c>
      <c r="F16" s="8">
        <f t="shared" si="1"/>
        <v>11225.64</v>
      </c>
      <c r="G16" s="9" t="str">
        <f>IFERROR(__xludf.DUMMYFUNCTION("""COMPUTED_VALUE"""),"Kee Sung Agriculture (M) Sdn Bhd")</f>
        <v>Kee Sung Agriculture (M) Sdn Bhd</v>
      </c>
      <c r="H16" s="7">
        <f>IFERROR(__xludf.DUMMYFUNCTION("""COMPUTED_VALUE"""),35000.0)</f>
        <v>35000</v>
      </c>
      <c r="I16" s="16">
        <f>IFERROR(__xludf.DUMMYFUNCTION("""COMPUTED_VALUE"""),2.03)</f>
        <v>2.03</v>
      </c>
      <c r="J16" s="16">
        <f>IFERROR(__xludf.DUMMYFUNCTION("""COMPUTED_VALUE"""),2415.0)</f>
        <v>2415</v>
      </c>
      <c r="K16" s="17">
        <f>IFERROR(__xludf.DUMMYFUNCTION("""COMPUTED_VALUE"""),0.069)</f>
        <v>0.069</v>
      </c>
      <c r="L16" s="17">
        <f>IFERROR(__xludf.DUMMYFUNCTION("""COMPUTED_VALUE"""),0.931)</f>
        <v>0.931</v>
      </c>
      <c r="M16" s="18">
        <f>IFERROR(__xludf.DUMMYFUNCTION("""COMPUTED_VALUE"""),35.0)</f>
        <v>35</v>
      </c>
      <c r="N16" s="7">
        <f>IFERROR(__xludf.DUMMYFUNCTION("""COMPUTED_VALUE"""),2294.32665)</f>
        <v>2294.32665</v>
      </c>
      <c r="O16" s="9">
        <f>IFERROR(__xludf.DUMMYFUNCTION("""COMPUTED_VALUE"""),1.65)</f>
        <v>1.65</v>
      </c>
      <c r="P16" s="7">
        <f>IFERROR(__xludf.DUMMYFUNCTION("""COMPUTED_VALUE"""),32585.0)</f>
        <v>32585</v>
      </c>
      <c r="Q16" s="8">
        <f>IFERROR(__xludf.DUMMYFUNCTION("""COMPUTED_VALUE"""),69525.05)</f>
        <v>69525.05</v>
      </c>
      <c r="R16" s="8">
        <f>IFERROR(__xludf.DUMMYFUNCTION("""COMPUTED_VALUE"""),2.1336519871106336)</f>
        <v>2.133651987</v>
      </c>
      <c r="S16" s="8">
        <f>IFERROR(__xludf.DUMMYFUNCTION("""COMPUTED_VALUE"""),12.83207764308731)</f>
        <v>12.83207764</v>
      </c>
      <c r="T16" s="19">
        <f>IFERROR(__xludf.DUMMYFUNCTION("""COMPUTED_VALUE"""),12.487574344023324)</f>
        <v>12.48757434</v>
      </c>
      <c r="U16" s="19">
        <f>IFERROR(__xludf.DUMMYFUNCTION("""COMPUTED_VALUE"""),0.3445032990639856)</f>
        <v>0.3445032991</v>
      </c>
      <c r="V16" s="19">
        <f>IFERROR(__xludf.DUMMYFUNCTION("""COMPUTED_VALUE"""),5.950001186622663)</f>
        <v>5.950001187</v>
      </c>
      <c r="W16" s="19">
        <f>IFERROR(__xludf.DUMMYFUNCTION("""COMPUTED_VALUE"""),5.852676265604987)</f>
        <v>5.852676266</v>
      </c>
      <c r="X16" s="19">
        <f>IFERROR(__xludf.DUMMYFUNCTION("""COMPUTED_VALUE"""),0.09732492101767676)</f>
        <v>0.09732492102</v>
      </c>
      <c r="Y16" s="19">
        <f>IFERROR(__xludf.DUMMYFUNCTION("""COMPUTED_VALUE"""),0.3445032990639869)</f>
        <v>0.3445032991</v>
      </c>
      <c r="Z16" s="11">
        <f>IFERROR(__xludf.DUMMYFUNCTION("""COMPUTED_VALUE"""),343.97056277056276)</f>
        <v>343.9705628</v>
      </c>
      <c r="AA16" s="20" t="str">
        <f>IFERROR(__xludf.DUMMYFUNCTION("""COMPUTED_VALUE"""),"VERY BAD")</f>
        <v>VERY BAD</v>
      </c>
      <c r="AB16" s="10"/>
      <c r="AC16" s="10"/>
      <c r="AD16" s="10"/>
      <c r="AE16" s="10"/>
      <c r="AF16" s="10"/>
    </row>
    <row r="17">
      <c r="A17" s="13" t="s">
        <v>12</v>
      </c>
      <c r="B17" s="14">
        <v>2023.0</v>
      </c>
      <c r="C17" s="15">
        <v>45017.0</v>
      </c>
      <c r="D17" s="8">
        <v>348310.67</v>
      </c>
      <c r="E17" s="8">
        <v>361557.86</v>
      </c>
      <c r="F17" s="8">
        <f t="shared" si="1"/>
        <v>-13247.19</v>
      </c>
      <c r="G17" s="9" t="str">
        <f>IFERROR(__xludf.DUMMYFUNCTION("""COMPUTED_VALUE"""),"Kee Sung Agriculture (M) Sdn Bhd")</f>
        <v>Kee Sung Agriculture (M) Sdn Bhd</v>
      </c>
      <c r="H17" s="7">
        <f>IFERROR(__xludf.DUMMYFUNCTION("""COMPUTED_VALUE"""),33000.0)</f>
        <v>33000</v>
      </c>
      <c r="I17" s="16">
        <f>IFERROR(__xludf.DUMMYFUNCTION("""COMPUTED_VALUE"""),2.03)</f>
        <v>2.03</v>
      </c>
      <c r="J17" s="16">
        <f>IFERROR(__xludf.DUMMYFUNCTION("""COMPUTED_VALUE"""),2511.0)</f>
        <v>2511</v>
      </c>
      <c r="K17" s="17">
        <f>IFERROR(__xludf.DUMMYFUNCTION("""COMPUTED_VALUE"""),0.07609090909090908)</f>
        <v>0.07609090909</v>
      </c>
      <c r="L17" s="17">
        <f>IFERROR(__xludf.DUMMYFUNCTION("""COMPUTED_VALUE"""),0.9239090909090909)</f>
        <v>0.9239090909</v>
      </c>
      <c r="M17" s="18">
        <f>IFERROR(__xludf.DUMMYFUNCTION("""COMPUTED_VALUE"""),35.0)</f>
        <v>35</v>
      </c>
      <c r="N17" s="7">
        <f>IFERROR(__xludf.DUMMYFUNCTION("""COMPUTED_VALUE"""),2053.1944999999996)</f>
        <v>2053.1945</v>
      </c>
      <c r="O17" s="9">
        <f>IFERROR(__xludf.DUMMYFUNCTION("""COMPUTED_VALUE"""),1.75)</f>
        <v>1.75</v>
      </c>
      <c r="P17" s="7">
        <f>IFERROR(__xludf.DUMMYFUNCTION("""COMPUTED_VALUE"""),30489.0)</f>
        <v>30489</v>
      </c>
      <c r="Q17" s="8">
        <f>IFERROR(__xludf.DUMMYFUNCTION("""COMPUTED_VALUE"""),58662.7)</f>
        <v>58662.7</v>
      </c>
      <c r="R17" s="8">
        <f>IFERROR(__xludf.DUMMYFUNCTION("""COMPUTED_VALUE"""),1.9240611368034373)</f>
        <v>1.924061137</v>
      </c>
      <c r="S17" s="8">
        <f>IFERROR(__xludf.DUMMYFUNCTION("""COMPUTED_VALUE"""),11.424142149627734)</f>
        <v>11.42414215</v>
      </c>
      <c r="T17" s="19">
        <f>IFERROR(__xludf.DUMMYFUNCTION("""COMPUTED_VALUE"""),11.858632949588376)</f>
        <v>11.85863295</v>
      </c>
      <c r="U17" s="19">
        <f>IFERROR(__xludf.DUMMYFUNCTION("""COMPUTED_VALUE"""),-0.434490799960642)</f>
        <v>-0.4344908</v>
      </c>
      <c r="V17" s="19">
        <f>IFERROR(__xludf.DUMMYFUNCTION("""COMPUTED_VALUE"""),5.937515150172086)</f>
        <v>5.93751515</v>
      </c>
      <c r="W17" s="19">
        <f>IFERROR(__xludf.DUMMYFUNCTION("""COMPUTED_VALUE"""),6.163334793659344)</f>
        <v>6.163334794</v>
      </c>
      <c r="X17" s="19">
        <f>IFERROR(__xludf.DUMMYFUNCTION("""COMPUTED_VALUE"""),-0.22581964348725858)</f>
        <v>-0.2258196435</v>
      </c>
      <c r="Y17" s="19">
        <f>IFERROR(__xludf.DUMMYFUNCTION("""COMPUTED_VALUE"""),-0.4344907999606416)</f>
        <v>-0.4344908</v>
      </c>
      <c r="Z17" s="11">
        <f>IFERROR(__xludf.DUMMYFUNCTION("""COMPUTED_VALUE"""),290.2298082869512)</f>
        <v>290.2298083</v>
      </c>
      <c r="AA17" s="20" t="str">
        <f>IFERROR(__xludf.DUMMYFUNCTION("""COMPUTED_VALUE"""),"VERY BAD")</f>
        <v>VERY BAD</v>
      </c>
      <c r="AB17" s="10"/>
      <c r="AC17" s="10"/>
      <c r="AD17" s="10"/>
      <c r="AE17" s="10"/>
      <c r="AF17" s="10"/>
    </row>
    <row r="18">
      <c r="A18" s="13" t="s">
        <v>12</v>
      </c>
      <c r="B18" s="14">
        <v>2023.0</v>
      </c>
      <c r="C18" s="15">
        <v>45047.0</v>
      </c>
      <c r="D18" s="8">
        <v>420894.59</v>
      </c>
      <c r="E18" s="8">
        <v>382515.37</v>
      </c>
      <c r="F18" s="8">
        <f t="shared" si="1"/>
        <v>38379.22</v>
      </c>
      <c r="G18" s="9" t="str">
        <f>IFERROR(__xludf.DUMMYFUNCTION("""COMPUTED_VALUE"""),"Kee Sung Agriculture (M) Sdn Bhd")</f>
        <v>Kee Sung Agriculture (M) Sdn Bhd</v>
      </c>
      <c r="H18" s="7">
        <f>IFERROR(__xludf.DUMMYFUNCTION("""COMPUTED_VALUE"""),33000.0)</f>
        <v>33000</v>
      </c>
      <c r="I18" s="16">
        <f>IFERROR(__xludf.DUMMYFUNCTION("""COMPUTED_VALUE"""),2.03)</f>
        <v>2.03</v>
      </c>
      <c r="J18" s="16">
        <f>IFERROR(__xludf.DUMMYFUNCTION("""COMPUTED_VALUE"""),2024.0)</f>
        <v>2024</v>
      </c>
      <c r="K18" s="17">
        <f>IFERROR(__xludf.DUMMYFUNCTION("""COMPUTED_VALUE"""),0.06133333333333333)</f>
        <v>0.06133333333</v>
      </c>
      <c r="L18" s="17">
        <f>IFERROR(__xludf.DUMMYFUNCTION("""COMPUTED_VALUE"""),0.9386666666666666)</f>
        <v>0.9386666667</v>
      </c>
      <c r="M18" s="18">
        <f>IFERROR(__xludf.DUMMYFUNCTION("""COMPUTED_VALUE"""),35.0)</f>
        <v>35</v>
      </c>
      <c r="N18" s="7">
        <f>IFERROR(__xludf.DUMMYFUNCTION("""COMPUTED_VALUE"""),2218.2837600000003)</f>
        <v>2218.28376</v>
      </c>
      <c r="O18" s="9">
        <f>IFERROR(__xludf.DUMMYFUNCTION("""COMPUTED_VALUE"""),1.61)</f>
        <v>1.61</v>
      </c>
      <c r="P18" s="7">
        <f>IFERROR(__xludf.DUMMYFUNCTION("""COMPUTED_VALUE"""),30976.0)</f>
        <v>30976</v>
      </c>
      <c r="Q18" s="8">
        <f>IFERROR(__xludf.DUMMYFUNCTION("""COMPUTED_VALUE"""),68890.8)</f>
        <v>68890.8</v>
      </c>
      <c r="R18" s="8">
        <f>IFERROR(__xludf.DUMMYFUNCTION("""COMPUTED_VALUE"""),2.224005681818182)</f>
        <v>2.224005682</v>
      </c>
      <c r="S18" s="8">
        <f>IFERROR(__xludf.DUMMYFUNCTION("""COMPUTED_VALUE"""),13.587764398243802)</f>
        <v>13.5877644</v>
      </c>
      <c r="T18" s="19">
        <f>IFERROR(__xludf.DUMMYFUNCTION("""COMPUTED_VALUE"""),12.348765818698348)</f>
        <v>12.34876582</v>
      </c>
      <c r="U18" s="19">
        <f>IFERROR(__xludf.DUMMYFUNCTION("""COMPUTED_VALUE"""),1.238998579545454)</f>
        <v>1.23899858</v>
      </c>
      <c r="V18" s="19">
        <f>IFERROR(__xludf.DUMMYFUNCTION("""COMPUTED_VALUE"""),5.944788999401952)</f>
        <v>5.944788999</v>
      </c>
      <c r="W18" s="19">
        <f>IFERROR(__xludf.DUMMYFUNCTION("""COMPUTED_VALUE"""),5.552488430966109)</f>
        <v>5.552488431</v>
      </c>
      <c r="X18" s="19">
        <f>IFERROR(__xludf.DUMMYFUNCTION("""COMPUTED_VALUE"""),0.39230056843584293)</f>
        <v>0.3923005684</v>
      </c>
      <c r="Y18" s="19">
        <f>IFERROR(__xludf.DUMMYFUNCTION("""COMPUTED_VALUE"""),1.2389985795454537)</f>
        <v>1.23899858</v>
      </c>
      <c r="Z18" s="11">
        <f>IFERROR(__xludf.DUMMYFUNCTION("""COMPUTED_VALUE"""),370.4702750665483)</f>
        <v>370.4702751</v>
      </c>
      <c r="AA18" s="20" t="str">
        <f>IFERROR(__xludf.DUMMYFUNCTION("""COMPUTED_VALUE"""),"VERY GOOD")</f>
        <v>VERY GOOD</v>
      </c>
      <c r="AB18" s="10"/>
      <c r="AC18" s="10"/>
      <c r="AD18" s="10"/>
      <c r="AE18" s="10"/>
      <c r="AF18" s="10"/>
    </row>
    <row r="19">
      <c r="A19" s="13" t="s">
        <v>12</v>
      </c>
      <c r="B19" s="14">
        <v>2024.0</v>
      </c>
      <c r="C19" s="15">
        <v>45292.0</v>
      </c>
      <c r="D19" s="8">
        <v>446501.15</v>
      </c>
      <c r="E19" s="8">
        <v>442766.34</v>
      </c>
      <c r="F19" s="8">
        <f t="shared" si="1"/>
        <v>3734.81</v>
      </c>
      <c r="G19" s="9" t="str">
        <f>IFERROR(__xludf.DUMMYFUNCTION("TRANSPOSE(IMPORTRANGE(""1o4Ac6NI0SfLibsumFt9f9lHwJFVrF2ykccRsQvuxGAI"", ""2024!C49:G69""))"),"Kee Sung Agriculture (M) Sdn Bhd")</f>
        <v>Kee Sung Agriculture (M) Sdn Bhd</v>
      </c>
      <c r="H19" s="7">
        <f>IFERROR(__xludf.DUMMYFUNCTION("""COMPUTED_VALUE"""),35000.0)</f>
        <v>35000</v>
      </c>
      <c r="I19" s="16">
        <f>IFERROR(__xludf.DUMMYFUNCTION("""COMPUTED_VALUE"""),2.13)</f>
        <v>2.13</v>
      </c>
      <c r="J19" s="16">
        <f>IFERROR(__xludf.DUMMYFUNCTION("""COMPUTED_VALUE"""),2691.0)</f>
        <v>2691</v>
      </c>
      <c r="K19" s="17">
        <f>IFERROR(__xludf.DUMMYFUNCTION("""COMPUTED_VALUE"""),0.07688571428571428)</f>
        <v>0.07688571429</v>
      </c>
      <c r="L19" s="17">
        <f>IFERROR(__xludf.DUMMYFUNCTION("""COMPUTED_VALUE"""),0.9231142857142857)</f>
        <v>0.9231142857</v>
      </c>
      <c r="M19" s="18">
        <f>IFERROR(__xludf.DUMMYFUNCTION("""COMPUTED_VALUE"""),35.0)</f>
        <v>35</v>
      </c>
      <c r="N19" s="7">
        <f>IFERROR(__xludf.DUMMYFUNCTION("""COMPUTED_VALUE"""),2583.87)</f>
        <v>2583.87</v>
      </c>
      <c r="O19" s="9">
        <f>IFERROR(__xludf.DUMMYFUNCTION("""COMPUTED_VALUE"""),1.72)</f>
        <v>1.72</v>
      </c>
      <c r="P19" s="7">
        <f>IFERROR(__xludf.DUMMYFUNCTION("""COMPUTED_VALUE"""),32309.0)</f>
        <v>32309</v>
      </c>
      <c r="Q19" s="8">
        <f>IFERROR(__xludf.DUMMYFUNCTION("""COMPUTED_VALUE"""),75112.5)</f>
        <v>75112.5</v>
      </c>
      <c r="R19" s="8">
        <f>IFERROR(__xludf.DUMMYFUNCTION("""COMPUTED_VALUE"""),2.324816614565601)</f>
        <v>2.324816615</v>
      </c>
      <c r="S19" s="8">
        <f>IFERROR(__xludf.DUMMYFUNCTION("""COMPUTED_VALUE"""),13.819714321087003)</f>
        <v>13.81971432</v>
      </c>
      <c r="T19" s="19">
        <f>IFERROR(__xludf.DUMMYFUNCTION("""COMPUTED_VALUE"""),13.704117738091556)</f>
        <v>13.70411774</v>
      </c>
      <c r="U19" s="19">
        <f>IFERROR(__xludf.DUMMYFUNCTION("""COMPUTED_VALUE"""),0.1155965829954475)</f>
        <v>0.115596583</v>
      </c>
      <c r="V19" s="19">
        <f>IFERROR(__xludf.DUMMYFUNCTION("""COMPUTED_VALUE"""),5.944432018638709)</f>
        <v>5.944432019</v>
      </c>
      <c r="W19" s="19">
        <f>IFERROR(__xludf.DUMMYFUNCTION("""COMPUTED_VALUE"""),5.894709136295558)</f>
        <v>5.894709136</v>
      </c>
      <c r="X19" s="19">
        <f>IFERROR(__xludf.DUMMYFUNCTION("""COMPUTED_VALUE"""),0.049722882343151475)</f>
        <v>0.04972288234</v>
      </c>
      <c r="Y19" s="19">
        <f>IFERROR(__xludf.DUMMYFUNCTION("""COMPUTED_VALUE"""),0.11559658299544831)</f>
        <v>0.115596583</v>
      </c>
      <c r="Z19" s="11">
        <f>IFERROR(__xludf.DUMMYFUNCTION("""COMPUTED_VALUE"""),356.4902705268154)</f>
        <v>356.4902705</v>
      </c>
      <c r="AA19" s="20" t="str">
        <f>IFERROR(__xludf.DUMMYFUNCTION("""COMPUTED_VALUE"""),"VERY BAD")</f>
        <v>VERY BAD</v>
      </c>
      <c r="AB19" s="10"/>
      <c r="AC19" s="10"/>
      <c r="AD19" s="10"/>
      <c r="AE19" s="10"/>
      <c r="AF19" s="10"/>
    </row>
    <row r="20">
      <c r="A20" s="13" t="s">
        <v>12</v>
      </c>
      <c r="B20" s="14">
        <v>2024.0</v>
      </c>
      <c r="C20" s="15">
        <v>45323.0</v>
      </c>
      <c r="D20" s="8">
        <v>448473.34</v>
      </c>
      <c r="E20" s="8">
        <v>437963.43</v>
      </c>
      <c r="F20" s="8">
        <f t="shared" si="1"/>
        <v>10509.91</v>
      </c>
      <c r="G20" s="9" t="str">
        <f>IFERROR(__xludf.DUMMYFUNCTION("""COMPUTED_VALUE"""),"Kee Sung Agriculture (M) Sdn Bhd")</f>
        <v>Kee Sung Agriculture (M) Sdn Bhd</v>
      </c>
      <c r="H20" s="7">
        <f>IFERROR(__xludf.DUMMYFUNCTION("""COMPUTED_VALUE"""),36600.0)</f>
        <v>36600</v>
      </c>
      <c r="I20" s="16">
        <f>IFERROR(__xludf.DUMMYFUNCTION("""COMPUTED_VALUE"""),2.13)</f>
        <v>2.13</v>
      </c>
      <c r="J20" s="16">
        <f>IFERROR(__xludf.DUMMYFUNCTION("""COMPUTED_VALUE"""),2645.0)</f>
        <v>2645</v>
      </c>
      <c r="K20" s="17">
        <f>IFERROR(__xludf.DUMMYFUNCTION("""COMPUTED_VALUE"""),0.07226775956284152)</f>
        <v>0.07226775956</v>
      </c>
      <c r="L20" s="17">
        <f>IFERROR(__xludf.DUMMYFUNCTION("""COMPUTED_VALUE"""),0.9277322404371585)</f>
        <v>0.9277322404</v>
      </c>
      <c r="M20" s="18">
        <f>IFERROR(__xludf.DUMMYFUNCTION("""COMPUTED_VALUE"""),35.0)</f>
        <v>35</v>
      </c>
      <c r="N20" s="7">
        <f>IFERROR(__xludf.DUMMYFUNCTION("""COMPUTED_VALUE"""),2490.6386999999995)</f>
        <v>2490.6387</v>
      </c>
      <c r="O20" s="9">
        <f>IFERROR(__xludf.DUMMYFUNCTION("""COMPUTED_VALUE"""),1.65)</f>
        <v>1.65</v>
      </c>
      <c r="P20" s="7">
        <f>IFERROR(__xludf.DUMMYFUNCTION("""COMPUTED_VALUE"""),33955.0)</f>
        <v>33955</v>
      </c>
      <c r="Q20" s="8">
        <f>IFERROR(__xludf.DUMMYFUNCTION("""COMPUTED_VALUE"""),75473.9)</f>
        <v>75473.9</v>
      </c>
      <c r="R20" s="8">
        <f>IFERROR(__xludf.DUMMYFUNCTION("""COMPUTED_VALUE"""),2.2227624797526135)</f>
        <v>2.22276248</v>
      </c>
      <c r="S20" s="8">
        <f>IFERROR(__xludf.DUMMYFUNCTION("""COMPUTED_VALUE"""),13.197953173317627)</f>
        <v>13.19795317</v>
      </c>
      <c r="T20" s="19">
        <f>IFERROR(__xludf.DUMMYFUNCTION("""COMPUTED_VALUE"""),12.898348696804595)</f>
        <v>12.8983487</v>
      </c>
      <c r="U20" s="19">
        <f>IFERROR(__xludf.DUMMYFUNCTION("""COMPUTED_VALUE"""),0.2996044765130321)</f>
        <v>0.2996044765</v>
      </c>
      <c r="V20" s="19">
        <f>IFERROR(__xludf.DUMMYFUNCTION("""COMPUTED_VALUE"""),5.9376353944873665)</f>
        <v>5.937635394</v>
      </c>
      <c r="W20" s="19">
        <f>IFERROR(__xludf.DUMMYFUNCTION("""COMPUTED_VALUE"""),5.80284614946359)</f>
        <v>5.802846149</v>
      </c>
      <c r="X20" s="19">
        <f>IFERROR(__xludf.DUMMYFUNCTION("""COMPUTED_VALUE"""),0.13478924502377687)</f>
        <v>0.134789245</v>
      </c>
      <c r="Y20" s="19">
        <f>IFERROR(__xludf.DUMMYFUNCTION("""COMPUTED_VALUE"""),0.30952466499779213)</f>
        <v>0.309524665</v>
      </c>
      <c r="Z20" s="11">
        <f>IFERROR(__xludf.DUMMYFUNCTION("""COMPUTED_VALUE"""),357.0785134719561)</f>
        <v>357.0785135</v>
      </c>
      <c r="AA20" s="20" t="str">
        <f>IFERROR(__xludf.DUMMYFUNCTION("""COMPUTED_VALUE"""),"VERY BAD")</f>
        <v>VERY BAD</v>
      </c>
      <c r="AB20" s="10"/>
      <c r="AC20" s="10"/>
      <c r="AD20" s="10"/>
      <c r="AE20" s="10"/>
      <c r="AF20" s="10"/>
    </row>
    <row r="21">
      <c r="A21" s="13" t="s">
        <v>12</v>
      </c>
      <c r="B21" s="14">
        <v>2024.0</v>
      </c>
      <c r="C21" s="15">
        <v>45352.0</v>
      </c>
      <c r="D21" s="8">
        <v>219283.71</v>
      </c>
      <c r="E21" s="8">
        <v>231534.81</v>
      </c>
      <c r="F21" s="8">
        <f t="shared" si="1"/>
        <v>-12251.1</v>
      </c>
      <c r="G21" s="9" t="str">
        <f>IFERROR(__xludf.DUMMYFUNCTION("""COMPUTED_VALUE"""),"Kee Sung Agriculture (M) Sdn Bhd")</f>
        <v>Kee Sung Agriculture (M) Sdn Bhd</v>
      </c>
      <c r="H21" s="7">
        <f>IFERROR(__xludf.DUMMYFUNCTION("""COMPUTED_VALUE"""),18500.0)</f>
        <v>18500</v>
      </c>
      <c r="I21" s="16">
        <f>IFERROR(__xludf.DUMMYFUNCTION("""COMPUTED_VALUE"""),2.13)</f>
        <v>2.13</v>
      </c>
      <c r="J21" s="16">
        <f>IFERROR(__xludf.DUMMYFUNCTION("""COMPUTED_VALUE"""),1301.0)</f>
        <v>1301</v>
      </c>
      <c r="K21" s="17">
        <f>IFERROR(__xludf.DUMMYFUNCTION("""COMPUTED_VALUE"""),0.07032432432432432)</f>
        <v>0.07032432432</v>
      </c>
      <c r="L21" s="17">
        <f>IFERROR(__xludf.DUMMYFUNCTION("""COMPUTED_VALUE"""),0.9296756756756757)</f>
        <v>0.9296756757</v>
      </c>
      <c r="M21" s="18">
        <f>IFERROR(__xludf.DUMMYFUNCTION("""COMPUTED_VALUE"""),35.0)</f>
        <v>35</v>
      </c>
      <c r="N21" s="7">
        <f>IFERROR(__xludf.DUMMYFUNCTION("""COMPUTED_VALUE"""),1216.1952)</f>
        <v>1216.1952</v>
      </c>
      <c r="O21" s="9">
        <f>IFERROR(__xludf.DUMMYFUNCTION("""COMPUTED_VALUE"""),1.65)</f>
        <v>1.65</v>
      </c>
      <c r="P21" s="7">
        <f>IFERROR(__xludf.DUMMYFUNCTION("""COMPUTED_VALUE"""),17199.0)</f>
        <v>17199</v>
      </c>
      <c r="Q21" s="8">
        <f>IFERROR(__xludf.DUMMYFUNCTION("""COMPUTED_VALUE"""),36854.4)</f>
        <v>36854.4</v>
      </c>
      <c r="R21" s="8">
        <f>IFERROR(__xludf.DUMMYFUNCTION("""COMPUTED_VALUE"""),2.1428222571079716)</f>
        <v>2.142822257</v>
      </c>
      <c r="S21" s="8">
        <f>IFERROR(__xludf.DUMMYFUNCTION("""COMPUTED_VALUE"""),12.749794174079888)</f>
        <v>12.74979417</v>
      </c>
      <c r="T21" s="19">
        <f>IFERROR(__xludf.DUMMYFUNCTION("""COMPUTED_VALUE"""),13.462108843537415)</f>
        <v>13.46210884</v>
      </c>
      <c r="U21" s="19">
        <f>IFERROR(__xludf.DUMMYFUNCTION("""COMPUTED_VALUE"""),-0.7123146694575269)</f>
        <v>-0.7123146695</v>
      </c>
      <c r="V21" s="19">
        <f>IFERROR(__xludf.DUMMYFUNCTION("""COMPUTED_VALUE"""),5.950000814014066)</f>
        <v>5.950000814</v>
      </c>
      <c r="W21" s="19">
        <f>IFERROR(__xludf.DUMMYFUNCTION("""COMPUTED_VALUE"""),6.282419738213076)</f>
        <v>6.282419738</v>
      </c>
      <c r="X21" s="19">
        <f>IFERROR(__xludf.DUMMYFUNCTION("""COMPUTED_VALUE"""),-0.3324189241990103)</f>
        <v>-0.3324189242</v>
      </c>
      <c r="Y21" s="19">
        <f>IFERROR(__xludf.DUMMYFUNCTION("""COMPUTED_VALUE"""),-0.712314669457527)</f>
        <v>-0.7123146695</v>
      </c>
      <c r="Z21" s="11">
        <f>IFERROR(__xludf.DUMMYFUNCTION("""COMPUTED_VALUE"""),344.957528957529)</f>
        <v>344.957529</v>
      </c>
      <c r="AA21" s="20" t="str">
        <f>IFERROR(__xludf.DUMMYFUNCTION("""COMPUTED_VALUE"""),"VERY BAD")</f>
        <v>VERY BAD</v>
      </c>
      <c r="AB21" s="10"/>
      <c r="AC21" s="10"/>
      <c r="AD21" s="10"/>
      <c r="AE21" s="10"/>
      <c r="AF21" s="10"/>
    </row>
    <row r="22">
      <c r="A22" s="13" t="s">
        <v>12</v>
      </c>
      <c r="B22" s="14">
        <v>2024.0</v>
      </c>
      <c r="C22" s="15">
        <v>45383.0</v>
      </c>
      <c r="D22" s="8">
        <v>270373.8</v>
      </c>
      <c r="E22" s="8">
        <v>299993.19</v>
      </c>
      <c r="F22" s="8">
        <f t="shared" si="1"/>
        <v>-29619.39</v>
      </c>
      <c r="G22" s="9" t="str">
        <f>IFERROR(__xludf.DUMMYFUNCTION("""COMPUTED_VALUE"""),"Kee Sung Agriculture (M) Sdn Bhd")</f>
        <v>Kee Sung Agriculture (M) Sdn Bhd</v>
      </c>
      <c r="H22" s="7">
        <f>IFERROR(__xludf.DUMMYFUNCTION("""COMPUTED_VALUE"""),24000.0)</f>
        <v>24000</v>
      </c>
      <c r="I22" s="16">
        <f>IFERROR(__xludf.DUMMYFUNCTION("""COMPUTED_VALUE"""),2.13)</f>
        <v>2.13</v>
      </c>
      <c r="J22" s="16">
        <f>IFERROR(__xludf.DUMMYFUNCTION("""COMPUTED_VALUE"""),3154.0)</f>
        <v>3154</v>
      </c>
      <c r="K22" s="17">
        <f>IFERROR(__xludf.DUMMYFUNCTION("""COMPUTED_VALUE"""),0.13141666666666665)</f>
        <v>0.1314166667</v>
      </c>
      <c r="L22" s="17">
        <f>IFERROR(__xludf.DUMMYFUNCTION("""COMPUTED_VALUE"""),0.8685833333333334)</f>
        <v>0.8685833333</v>
      </c>
      <c r="M22" s="18">
        <f>IFERROR(__xludf.DUMMYFUNCTION("""COMPUTED_VALUE"""),35.0)</f>
        <v>35</v>
      </c>
      <c r="N22" s="7">
        <f>IFERROR(__xludf.DUMMYFUNCTION("""COMPUTED_VALUE"""),1696.4204)</f>
        <v>1696.4204</v>
      </c>
      <c r="O22" s="9">
        <f>IFERROR(__xludf.DUMMYFUNCTION("""COMPUTED_VALUE"""),1.85)</f>
        <v>1.85</v>
      </c>
      <c r="P22" s="7">
        <f>IFERROR(__xludf.DUMMYFUNCTION("""COMPUTED_VALUE"""),20846.0)</f>
        <v>20846</v>
      </c>
      <c r="Q22" s="8">
        <f>IFERROR(__xludf.DUMMYFUNCTION("""COMPUTED_VALUE"""),45849.2)</f>
        <v>45849.2</v>
      </c>
      <c r="R22" s="8">
        <f>IFERROR(__xludf.DUMMYFUNCTION("""COMPUTED_VALUE"""),2.1994243499952026)</f>
        <v>2.19942435</v>
      </c>
      <c r="S22" s="8">
        <f>IFERROR(__xludf.DUMMYFUNCTION("""COMPUTED_VALUE"""),12.970056605583805)</f>
        <v>12.97005661</v>
      </c>
      <c r="T22" s="19">
        <f>IFERROR(__xludf.DUMMYFUNCTION("""COMPUTED_VALUE"""),14.390923438549363)</f>
        <v>14.39092344</v>
      </c>
      <c r="U22" s="19">
        <f>IFERROR(__xludf.DUMMYFUNCTION("""COMPUTED_VALUE"""),-1.420866832965558)</f>
        <v>-1.420866833</v>
      </c>
      <c r="V22" s="19">
        <f>IFERROR(__xludf.DUMMYFUNCTION("""COMPUTED_VALUE"""),5.8970232850300555)</f>
        <v>5.897023285</v>
      </c>
      <c r="W22" s="19">
        <f>IFERROR(__xludf.DUMMYFUNCTION("""COMPUTED_VALUE"""),6.543040881847448)</f>
        <v>6.543040882</v>
      </c>
      <c r="X22" s="19">
        <f>IFERROR(__xludf.DUMMYFUNCTION("""COMPUTED_VALUE"""),-0.6460175968173925)</f>
        <v>-0.6460175968</v>
      </c>
      <c r="Y22" s="19">
        <f>IFERROR(__xludf.DUMMYFUNCTION("""COMPUTED_VALUE"""),-1.4208668329655576)</f>
        <v>-1.420866833</v>
      </c>
      <c r="Z22" s="11">
        <f>IFERROR(__xludf.DUMMYFUNCTION("""COMPUTED_VALUE"""),295.039897039897)</f>
        <v>295.039897</v>
      </c>
      <c r="AA22" s="20" t="str">
        <f>IFERROR(__xludf.DUMMYFUNCTION("""COMPUTED_VALUE"""),"VERY BAD")</f>
        <v>VERY BAD</v>
      </c>
      <c r="AB22" s="10"/>
      <c r="AC22" s="10"/>
      <c r="AD22" s="10"/>
      <c r="AE22" s="10"/>
      <c r="AF22" s="10"/>
    </row>
    <row r="23">
      <c r="A23" s="13" t="s">
        <v>12</v>
      </c>
      <c r="B23" s="14">
        <v>2024.0</v>
      </c>
      <c r="C23" s="15">
        <v>45413.0</v>
      </c>
      <c r="D23" s="8">
        <v>382026.35</v>
      </c>
      <c r="E23" s="8">
        <v>410344.47</v>
      </c>
      <c r="F23" s="8">
        <f t="shared" si="1"/>
        <v>-28318.12</v>
      </c>
      <c r="G23" s="21" t="str">
        <f>IFERROR(__xludf.DUMMYFUNCTION("""COMPUTED_VALUE"""),"PTS Soultry Sdn Bhd")</f>
        <v>PTS Soultry Sdn Bhd</v>
      </c>
      <c r="H23" s="7">
        <f>IFERROR(__xludf.DUMMYFUNCTION("""COMPUTED_VALUE"""),30000.0)</f>
        <v>30000</v>
      </c>
      <c r="I23" s="16">
        <f>IFERROR(__xludf.DUMMYFUNCTION("""COMPUTED_VALUE"""),1.85)</f>
        <v>1.85</v>
      </c>
      <c r="J23" s="16">
        <f>IFERROR(__xludf.DUMMYFUNCTION("""COMPUTED_VALUE"""),1526.0)</f>
        <v>1526</v>
      </c>
      <c r="K23" s="17">
        <f>IFERROR(__xludf.DUMMYFUNCTION("""COMPUTED_VALUE"""),0.050866666666666664)</f>
        <v>0.05086666667</v>
      </c>
      <c r="L23" s="17">
        <f>IFERROR(__xludf.DUMMYFUNCTION("""COMPUTED_VALUE"""),0.9491333333333334)</f>
        <v>0.9491333333</v>
      </c>
      <c r="M23" s="18">
        <f>IFERROR(__xludf.DUMMYFUNCTION("""COMPUTED_VALUE"""),35.0)</f>
        <v>35</v>
      </c>
      <c r="N23" s="7">
        <f>IFERROR(__xludf.DUMMYFUNCTION("""COMPUTED_VALUE"""),2204.77182)</f>
        <v>2204.77182</v>
      </c>
      <c r="O23" s="9">
        <f>IFERROR(__xludf.DUMMYFUNCTION("""COMPUTED_VALUE"""),1.7)</f>
        <v>1.7</v>
      </c>
      <c r="P23" s="22">
        <f>IFERROR(__xludf.DUMMYFUNCTION("""COMPUTED_VALUE"""),28474.0)</f>
        <v>28474</v>
      </c>
      <c r="Q23" s="8">
        <f>IFERROR(__xludf.DUMMYFUNCTION("""COMPUTED_VALUE"""),64846.23)</f>
        <v>64846.23</v>
      </c>
      <c r="R23" s="8">
        <f>IFERROR(__xludf.DUMMYFUNCTION("""COMPUTED_VALUE"""),2.2773839291985674)</f>
        <v>2.277383929</v>
      </c>
      <c r="S23" s="8">
        <f>IFERROR(__xludf.DUMMYFUNCTION("""COMPUTED_VALUE"""),13.416673105289036)</f>
        <v>13.41667311</v>
      </c>
      <c r="T23" s="19">
        <f>IFERROR(__xludf.DUMMYFUNCTION("""COMPUTED_VALUE"""),14.411198637353378)</f>
        <v>14.41119864</v>
      </c>
      <c r="U23" s="19">
        <f>IFERROR(__xludf.DUMMYFUNCTION("""COMPUTED_VALUE"""),-0.9945255320643422)</f>
        <v>-0.9945255321</v>
      </c>
      <c r="V23" s="19">
        <f>IFERROR(__xludf.DUMMYFUNCTION("""COMPUTED_VALUE"""),5.891265382736976)</f>
        <v>5.891265383</v>
      </c>
      <c r="W23" s="19">
        <f>IFERROR(__xludf.DUMMYFUNCTION("""COMPUTED_VALUE"""),6.327961856841949)</f>
        <v>6.327961857</v>
      </c>
      <c r="X23" s="19">
        <f>IFERROR(__xludf.DUMMYFUNCTION("""COMPUTED_VALUE"""),-0.4366964741049726)</f>
        <v>-0.4366964741</v>
      </c>
      <c r="Y23" s="19">
        <f>IFERROR(__xludf.DUMMYFUNCTION("""COMPUTED_VALUE"""),-0.9945255320643434)</f>
        <v>-0.9945255321</v>
      </c>
      <c r="Z23" s="11">
        <f>IFERROR(__xludf.DUMMYFUNCTION("""COMPUTED_VALUE"""),363.2842016806723)</f>
        <v>363.2842017</v>
      </c>
      <c r="AA23" s="20" t="str">
        <f>IFERROR(__xludf.DUMMYFUNCTION("""COMPUTED_VALUE"""),"VERY BAD")</f>
        <v>VERY BAD</v>
      </c>
      <c r="AB23" s="10"/>
      <c r="AC23" s="10"/>
      <c r="AD23" s="10"/>
      <c r="AE23" s="10"/>
      <c r="AF23" s="10"/>
    </row>
    <row r="24">
      <c r="A24" s="13" t="s">
        <v>12</v>
      </c>
      <c r="B24" s="14">
        <v>2025.0</v>
      </c>
      <c r="C24" s="15">
        <v>45658.0</v>
      </c>
      <c r="D24" s="23">
        <f>IFERROR(__xludf.DUMMYFUNCTION("TRANSPOSE(IMPORTRANGE(""1o4Ac6NI0SfLibsumFt9f9lHwJFVrF2ykccRsQvuxGAI"", ""2025!C12:F12""))"),479216.72)</f>
        <v>479216.72</v>
      </c>
      <c r="E24" s="23">
        <f>IFERROR(__xludf.DUMMYFUNCTION("TRANSPOSE(IMPORTRANGE(""1o4Ac6NI0SfLibsumFt9f9lHwJFVrF2ykccRsQvuxGAI"", ""2025!C37:F37""))"),433056.78)</f>
        <v>433056.78</v>
      </c>
      <c r="F24" s="8">
        <f t="shared" si="1"/>
        <v>46159.94</v>
      </c>
      <c r="G24" s="24" t="str">
        <f>IFERROR(__xludf.DUMMYFUNCTION("TRANSPOSE(IMPORTRANGE(""1o4Ac6NI0SfLibsumFt9f9lHwJFVrF2ykccRsQvuxGAI"", ""2025!C45:F65""))"),"Goldform Corporation Sdn Bhd")</f>
        <v>Goldform Corporation Sdn Bhd</v>
      </c>
      <c r="H24" s="7">
        <f>IFERROR(__xludf.DUMMYFUNCTION("""COMPUTED_VALUE"""),35040.0)</f>
        <v>35040</v>
      </c>
      <c r="I24" s="16">
        <f>IFERROR(__xludf.DUMMYFUNCTION("""COMPUTED_VALUE"""),1.85)</f>
        <v>1.85</v>
      </c>
      <c r="J24" s="16">
        <f>IFERROR(__xludf.DUMMYFUNCTION("""COMPUTED_VALUE"""),1590.0)</f>
        <v>1590</v>
      </c>
      <c r="K24" s="17">
        <f>IFERROR(__xludf.DUMMYFUNCTION("""COMPUTED_VALUE"""),0.045376712328767124)</f>
        <v>0.04537671233</v>
      </c>
      <c r="L24" s="17">
        <f>IFERROR(__xludf.DUMMYFUNCTION("""COMPUTED_VALUE"""),0.9546232876712328)</f>
        <v>0.9546232877</v>
      </c>
      <c r="M24" s="18">
        <f>IFERROR(__xludf.DUMMYFUNCTION("""COMPUTED_VALUE"""),32.0)</f>
        <v>32</v>
      </c>
      <c r="N24" s="7">
        <f>IFERROR(__xludf.DUMMYFUNCTION("""COMPUTED_VALUE"""),2505.0)</f>
        <v>2505</v>
      </c>
      <c r="O24" s="16">
        <f>IFERROR(__xludf.DUMMYFUNCTION("""COMPUTED_VALUE"""),1.5396438941964092)</f>
        <v>1.539643894</v>
      </c>
      <c r="P24" s="25">
        <f>IFERROR(__xludf.DUMMYFUNCTION("""COMPUTED_VALUE"""),33450.0)</f>
        <v>33450</v>
      </c>
      <c r="Q24" s="8">
        <f>IFERROR(__xludf.DUMMYFUNCTION("""COMPUTED_VALUE"""),81349.98)</f>
        <v>81349.98</v>
      </c>
      <c r="R24" s="8">
        <f>IFERROR(__xludf.DUMMYFUNCTION("""COMPUTED_VALUE"""),2.431987443946188)</f>
        <v>2.431987444</v>
      </c>
      <c r="S24" s="8">
        <f>IFERROR(__xludf.DUMMYFUNCTION("""COMPUTED_VALUE"""),14.326359342301942)</f>
        <v>14.32635934</v>
      </c>
      <c r="T24" s="19">
        <f>IFERROR(__xludf.DUMMYFUNCTION("""COMPUTED_VALUE"""),12.946391031390135)</f>
        <v>12.94639103</v>
      </c>
      <c r="U24" s="19">
        <f>IFERROR(__xludf.DUMMYFUNCTION("""COMPUTED_VALUE"""),1.3799683109118064)</f>
        <v>1.379968311</v>
      </c>
      <c r="V24" s="19">
        <f>IFERROR(__xludf.DUMMYFUNCTION("""COMPUTED_VALUE"""),5.8882217303556805)</f>
        <v>5.88822173</v>
      </c>
      <c r="W24" s="19">
        <f>IFERROR(__xludf.DUMMYFUNCTION("""COMPUTED_VALUE"""),5.323379059220421)</f>
        <v>5.323379059</v>
      </c>
      <c r="X24" s="19">
        <f>IFERROR(__xludf.DUMMYFUNCTION("""COMPUTED_VALUE"""),0.5648426711352599)</f>
        <v>0.5648426711</v>
      </c>
      <c r="Y24" s="19">
        <f>IFERROR(__xludf.DUMMYFUNCTION("""COMPUTED_VALUE"""),1.379968310911807)</f>
        <v>1.379968311</v>
      </c>
      <c r="Z24" s="11">
        <f>IFERROR(__xludf.DUMMYFUNCTION("""COMPUTED_VALUE"""),471.21932262760436)</f>
        <v>471.2193226</v>
      </c>
      <c r="AA24" s="10" t="str">
        <f>IFERROR(__xludf.DUMMYFUNCTION("""COMPUTED_VALUE"""),"VERY GOOD")</f>
        <v>VERY GOOD</v>
      </c>
      <c r="AB24" s="10"/>
      <c r="AC24" s="10"/>
      <c r="AD24" s="10"/>
      <c r="AE24" s="10"/>
      <c r="AF24" s="10"/>
    </row>
    <row r="25">
      <c r="A25" s="13" t="s">
        <v>12</v>
      </c>
      <c r="B25" s="14">
        <v>2025.0</v>
      </c>
      <c r="C25" s="15">
        <v>45689.0</v>
      </c>
      <c r="D25" s="23">
        <f>IFERROR(__xludf.DUMMYFUNCTION("""COMPUTED_VALUE"""),447975.66)</f>
        <v>447975.66</v>
      </c>
      <c r="E25" s="23">
        <f>IFERROR(__xludf.DUMMYFUNCTION("""COMPUTED_VALUE"""),432300.9199999999)</f>
        <v>432300.92</v>
      </c>
      <c r="F25" s="8">
        <f t="shared" si="1"/>
        <v>15674.74</v>
      </c>
      <c r="G25" s="24" t="str">
        <f>IFERROR(__xludf.DUMMYFUNCTION("""COMPUTED_VALUE"""),"Goldform Corporation Sdn Bhd")</f>
        <v>Goldform Corporation Sdn Bhd</v>
      </c>
      <c r="H25" s="7">
        <f>IFERROR(__xludf.DUMMYFUNCTION("""COMPUTED_VALUE"""),34720.0)</f>
        <v>34720</v>
      </c>
      <c r="I25" s="16">
        <f>IFERROR(__xludf.DUMMYFUNCTION("""COMPUTED_VALUE"""),1.85)</f>
        <v>1.85</v>
      </c>
      <c r="J25" s="16">
        <f>IFERROR(__xludf.DUMMYFUNCTION("""COMPUTED_VALUE"""),1972.0)</f>
        <v>1972</v>
      </c>
      <c r="K25" s="17">
        <f>IFERROR(__xludf.DUMMYFUNCTION("""COMPUTED_VALUE"""),0.05679723502304147)</f>
        <v>0.05679723502</v>
      </c>
      <c r="L25" s="17">
        <f>IFERROR(__xludf.DUMMYFUNCTION("""COMPUTED_VALUE"""),0.9432027649769585)</f>
        <v>0.943202765</v>
      </c>
      <c r="M25" s="18">
        <f>IFERROR(__xludf.DUMMYFUNCTION("""COMPUTED_VALUE"""),33.0)</f>
        <v>33</v>
      </c>
      <c r="N25" s="7">
        <f>IFERROR(__xludf.DUMMYFUNCTION("""COMPUTED_VALUE"""),2420.0)</f>
        <v>2420</v>
      </c>
      <c r="O25" s="16">
        <f>IFERROR(__xludf.DUMMYFUNCTION("""COMPUTED_VALUE"""),1.595322777306652)</f>
        <v>1.595322777</v>
      </c>
      <c r="P25" s="25">
        <f>IFERROR(__xludf.DUMMYFUNCTION("""COMPUTED_VALUE"""),32748.0)</f>
        <v>32748</v>
      </c>
      <c r="Q25" s="8">
        <f>IFERROR(__xludf.DUMMYFUNCTION("""COMPUTED_VALUE"""),75846.72)</f>
        <v>75846.72</v>
      </c>
      <c r="R25" s="8">
        <f>IFERROR(__xludf.DUMMYFUNCTION("""COMPUTED_VALUE"""),2.3160718211799196)</f>
        <v>2.316071821</v>
      </c>
      <c r="S25" s="8">
        <f>IFERROR(__xludf.DUMMYFUNCTION("""COMPUTED_VALUE"""),13.679481495053132)</f>
        <v>13.6794815</v>
      </c>
      <c r="T25" s="19">
        <f>IFERROR(__xludf.DUMMYFUNCTION("""COMPUTED_VALUE"""),13.20083424941981)</f>
        <v>13.20083425</v>
      </c>
      <c r="U25" s="19">
        <f>IFERROR(__xludf.DUMMYFUNCTION("""COMPUTED_VALUE"""),0.47864724563332217)</f>
        <v>0.4786472456</v>
      </c>
      <c r="V25" s="19">
        <f>IFERROR(__xludf.DUMMYFUNCTION("""COMPUTED_VALUE"""),5.900000158213829)</f>
        <v>5.900000158</v>
      </c>
      <c r="W25" s="19">
        <f>IFERROR(__xludf.DUMMYFUNCTION("""COMPUTED_VALUE"""),5.699665325013394)</f>
        <v>5.699665325</v>
      </c>
      <c r="X25" s="19">
        <f>IFERROR(__xludf.DUMMYFUNCTION("""COMPUTED_VALUE"""),0.20033483320043466)</f>
        <v>0.2003348332</v>
      </c>
      <c r="Y25" s="19">
        <f>IFERROR(__xludf.DUMMYFUNCTION("""COMPUTED_VALUE"""),0.4786472456333226)</f>
        <v>0.4786472456</v>
      </c>
      <c r="Z25" s="11">
        <f>IFERROR(__xludf.DUMMYFUNCTION("""COMPUTED_VALUE"""),414.9488660713854)</f>
        <v>414.9488661</v>
      </c>
      <c r="AA25" s="10" t="str">
        <f>IFERROR(__xludf.DUMMYFUNCTION("""COMPUTED_VALUE"""),"VERY BAD")</f>
        <v>VERY BAD</v>
      </c>
      <c r="AB25" s="10"/>
      <c r="AC25" s="10"/>
      <c r="AD25" s="10"/>
      <c r="AE25" s="10"/>
      <c r="AF25" s="10"/>
    </row>
    <row r="26">
      <c r="A26" s="13" t="s">
        <v>12</v>
      </c>
      <c r="B26" s="14">
        <v>2025.0</v>
      </c>
      <c r="C26" s="15">
        <v>45717.0</v>
      </c>
      <c r="D26" s="23">
        <f>IFERROR(__xludf.DUMMYFUNCTION("""COMPUTED_VALUE"""),430719.54)</f>
        <v>430719.54</v>
      </c>
      <c r="E26" s="23">
        <f>IFERROR(__xludf.DUMMYFUNCTION("""COMPUTED_VALUE"""),447040.11999999994)</f>
        <v>447040.12</v>
      </c>
      <c r="F26" s="8">
        <f t="shared" si="1"/>
        <v>-16320.58</v>
      </c>
      <c r="G26" s="24" t="str">
        <f>IFERROR(__xludf.DUMMYFUNCTION("""COMPUTED_VALUE"""),"Goldform Corporation Sdn Bhd")</f>
        <v>Goldform Corporation Sdn Bhd</v>
      </c>
      <c r="H26" s="7">
        <f>IFERROR(__xludf.DUMMYFUNCTION("""COMPUTED_VALUE"""),34960.0)</f>
        <v>34960</v>
      </c>
      <c r="I26" s="8">
        <f>IFERROR(__xludf.DUMMYFUNCTION("""COMPUTED_VALUE"""),1.85)</f>
        <v>1.85</v>
      </c>
      <c r="J26" s="7">
        <f>IFERROR(__xludf.DUMMYFUNCTION("""COMPUTED_VALUE"""),2239.0)</f>
        <v>2239</v>
      </c>
      <c r="K26" s="17">
        <f>IFERROR(__xludf.DUMMYFUNCTION("""COMPUTED_VALUE"""),0.06404462242562929)</f>
        <v>0.06404462243</v>
      </c>
      <c r="L26" s="17">
        <f>IFERROR(__xludf.DUMMYFUNCTION("""COMPUTED_VALUE"""),0.9359553775743708)</f>
        <v>0.9359553776</v>
      </c>
      <c r="M26" s="18">
        <f>IFERROR(__xludf.DUMMYFUNCTION("""COMPUTED_VALUE"""),33.0)</f>
        <v>33</v>
      </c>
      <c r="N26" s="7">
        <f>IFERROR(__xludf.DUMMYFUNCTION("""COMPUTED_VALUE"""),2557.0)</f>
        <v>2557</v>
      </c>
      <c r="O26" s="16">
        <f>IFERROR(__xludf.DUMMYFUNCTION("""COMPUTED_VALUE"""),1.7468362247788136)</f>
        <v>1.746836225</v>
      </c>
      <c r="P26" s="25">
        <f>IFERROR(__xludf.DUMMYFUNCTION("""COMPUTED_VALUE"""),32721.0)</f>
        <v>32721</v>
      </c>
      <c r="Q26" s="8">
        <f>IFERROR(__xludf.DUMMYFUNCTION("""COMPUTED_VALUE"""),73189.46)</f>
        <v>73189.46</v>
      </c>
      <c r="R26" s="8">
        <f>IFERROR(__xludf.DUMMYFUNCTION("""COMPUTED_VALUE"""),2.2367733259985942)</f>
        <v>2.236773326</v>
      </c>
      <c r="S26" s="8">
        <f>IFERROR(__xludf.DUMMYFUNCTION("""COMPUTED_VALUE"""),13.163397817915099)</f>
        <v>13.16339782</v>
      </c>
      <c r="T26" s="19">
        <f>IFERROR(__xludf.DUMMYFUNCTION("""COMPUTED_VALUE"""),13.662177806301761)</f>
        <v>13.66217781</v>
      </c>
      <c r="U26" s="19">
        <f>IFERROR(__xludf.DUMMYFUNCTION("""COMPUTED_VALUE"""),-0.49877998838666215)</f>
        <v>-0.4987799884</v>
      </c>
      <c r="V26" s="19">
        <f>IFERROR(__xludf.DUMMYFUNCTION("""COMPUTED_VALUE"""),5.88260304147619)</f>
        <v>5.882603041</v>
      </c>
      <c r="W26" s="19">
        <f>IFERROR(__xludf.DUMMYFUNCTION("""COMPUTED_VALUE"""),6.1079849475593875)</f>
        <v>6.107984948</v>
      </c>
      <c r="X26" s="19">
        <f>IFERROR(__xludf.DUMMYFUNCTION("""COMPUTED_VALUE"""),-0.22538190608319741)</f>
        <v>-0.2253819061</v>
      </c>
      <c r="Y26" s="19">
        <f>IFERROR(__xludf.DUMMYFUNCTION("""COMPUTED_VALUE"""),-0.4987799883866617)</f>
        <v>-0.4987799884</v>
      </c>
      <c r="Z26" s="11">
        <f>IFERROR(__xludf.DUMMYFUNCTION("""COMPUTED_VALUE"""),363.17085593680105)</f>
        <v>363.1708559</v>
      </c>
      <c r="AA26" s="10" t="str">
        <f>IFERROR(__xludf.DUMMYFUNCTION("""COMPUTED_VALUE"""),"VERY BAD")</f>
        <v>VERY BAD</v>
      </c>
      <c r="AB26" s="10"/>
      <c r="AC26" s="10"/>
      <c r="AD26" s="10"/>
      <c r="AE26" s="10"/>
      <c r="AF26" s="10"/>
    </row>
    <row r="27">
      <c r="A27" s="13" t="s">
        <v>12</v>
      </c>
      <c r="B27" s="14">
        <v>2025.0</v>
      </c>
      <c r="C27" s="15">
        <v>45748.0</v>
      </c>
      <c r="D27" s="23">
        <f>IFERROR(__xludf.DUMMYFUNCTION("""COMPUTED_VALUE"""),348802.3)</f>
        <v>348802.3</v>
      </c>
      <c r="E27" s="23">
        <f>IFERROR(__xludf.DUMMYFUNCTION("""COMPUTED_VALUE"""),378615.14999999997)</f>
        <v>378615.15</v>
      </c>
      <c r="F27" s="8">
        <f t="shared" si="1"/>
        <v>-29812.85</v>
      </c>
      <c r="G27" s="24" t="str">
        <f>IFERROR(__xludf.DUMMYFUNCTION("""COMPUTED_VALUE"""),"Goldform Corporation Sdn Bhd")</f>
        <v>Goldform Corporation Sdn Bhd</v>
      </c>
      <c r="H27" s="7">
        <f>IFERROR(__xludf.DUMMYFUNCTION("""COMPUTED_VALUE"""),32800.0)</f>
        <v>32800</v>
      </c>
      <c r="I27" s="8">
        <f>IFERROR(__xludf.DUMMYFUNCTION("""COMPUTED_VALUE"""),1.85)</f>
        <v>1.85</v>
      </c>
      <c r="J27" s="7">
        <f>IFERROR(__xludf.DUMMYFUNCTION("""COMPUTED_VALUE"""),2400.0)</f>
        <v>2400</v>
      </c>
      <c r="K27" s="17">
        <f>IFERROR(__xludf.DUMMYFUNCTION("""COMPUTED_VALUE"""),0.07317073170731707)</f>
        <v>0.07317073171</v>
      </c>
      <c r="L27" s="17">
        <f>IFERROR(__xludf.DUMMYFUNCTION("""COMPUTED_VALUE"""),0.926829268292683)</f>
        <v>0.9268292683</v>
      </c>
      <c r="M27" s="18">
        <f>IFERROR(__xludf.DUMMYFUNCTION("""COMPUTED_VALUE"""),36.07)</f>
        <v>36.07</v>
      </c>
      <c r="N27" s="7">
        <f>IFERROR(__xludf.DUMMYFUNCTION("""COMPUTED_VALUE"""),2065.0)</f>
        <v>2065</v>
      </c>
      <c r="O27" s="16">
        <f>IFERROR(__xludf.DUMMYFUNCTION("""COMPUTED_VALUE"""),1.7458555165483431)</f>
        <v>1.745855517</v>
      </c>
      <c r="P27" s="25">
        <f>IFERROR(__xludf.DUMMYFUNCTION("""COMPUTED_VALUE"""),30400.0)</f>
        <v>30400</v>
      </c>
      <c r="Q27" s="8">
        <f>IFERROR(__xludf.DUMMYFUNCTION("""COMPUTED_VALUE"""),59140.06)</f>
        <v>59140.06</v>
      </c>
      <c r="R27" s="8">
        <f>IFERROR(__xludf.DUMMYFUNCTION("""COMPUTED_VALUE"""),1.9453967105263157)</f>
        <v>1.945396711</v>
      </c>
      <c r="S27" s="8">
        <f>IFERROR(__xludf.DUMMYFUNCTION("""COMPUTED_VALUE"""),11.473759868421052)</f>
        <v>11.47375987</v>
      </c>
      <c r="T27" s="19">
        <f>IFERROR(__xludf.DUMMYFUNCTION("""COMPUTED_VALUE"""),12.45444572368421)</f>
        <v>12.45444572</v>
      </c>
      <c r="U27" s="19">
        <f>IFERROR(__xludf.DUMMYFUNCTION("""COMPUTED_VALUE"""),-0.9806858552631574)</f>
        <v>-0.9806858553</v>
      </c>
      <c r="V27" s="19">
        <f>IFERROR(__xludf.DUMMYFUNCTION("""COMPUTED_VALUE"""),5.897226008901581)</f>
        <v>5.897226009</v>
      </c>
      <c r="W27" s="19">
        <f>IFERROR(__xludf.DUMMYFUNCTION("""COMPUTED_VALUE"""),6.40200821575088)</f>
        <v>6.402008216</v>
      </c>
      <c r="X27" s="19">
        <f>IFERROR(__xludf.DUMMYFUNCTION("""COMPUTED_VALUE"""),-0.5047822068492991)</f>
        <v>-0.5047822068</v>
      </c>
      <c r="Y27" s="19">
        <f>IFERROR(__xludf.DUMMYFUNCTION("""COMPUTED_VALUE"""),-0.9806858552631571)</f>
        <v>-0.9806858553</v>
      </c>
      <c r="Z27" s="11">
        <f>IFERROR(__xludf.DUMMYFUNCTION("""COMPUTED_VALUE"""),286.32118001387454)</f>
        <v>286.32118</v>
      </c>
      <c r="AA27" s="10" t="str">
        <f>IFERROR(__xludf.DUMMYFUNCTION("""COMPUTED_VALUE"""),"VERY BAD")</f>
        <v>VERY BAD</v>
      </c>
      <c r="AB27" s="10"/>
      <c r="AC27" s="10"/>
      <c r="AD27" s="10"/>
      <c r="AE27" s="10"/>
      <c r="AF27" s="10"/>
    </row>
    <row r="28">
      <c r="A28" s="13" t="s">
        <v>17</v>
      </c>
      <c r="B28" s="14">
        <v>2021.0</v>
      </c>
      <c r="C28" s="15">
        <v>44197.0</v>
      </c>
      <c r="D28" s="8">
        <f>IFERROR(__xludf.DUMMYFUNCTION("TRANSPOSE(IMPORTRANGE(""1OP-qxVLNURBqstk-WZQd8qB2vYxDQLc8s35zWl_CMzo"", ""2021!C12:E12""))"),162651.21)</f>
        <v>162651.21</v>
      </c>
      <c r="E28" s="8">
        <f>IFERROR(__xludf.DUMMYFUNCTION("TRANSPOSE(IMPORTRANGE(""1OP-qxVLNURBqstk-WZQd8qB2vYxDQLc8s35zWl_CMzo"", ""2021!C41:E41""))"),142154.97)</f>
        <v>142154.97</v>
      </c>
      <c r="F28" s="8">
        <f t="shared" si="1"/>
        <v>20496.24</v>
      </c>
      <c r="G28" s="7" t="str">
        <f>IFERROR(__xludf.DUMMYFUNCTION("TRANSPOSE(IMPORTRANGE(""1OP-qxVLNURBqstk-WZQd8qB2vYxDQLc8s35zWl_CMzo"", ""2021!C49:E69""))"),"Huat Lai Resourses Bhd")</f>
        <v>Huat Lai Resourses Bhd</v>
      </c>
      <c r="H28" s="7">
        <f>IFERROR(__xludf.DUMMYFUNCTION("""COMPUTED_VALUE"""),14600.0)</f>
        <v>14600</v>
      </c>
      <c r="I28" s="16">
        <f>IFERROR(__xludf.DUMMYFUNCTION("""COMPUTED_VALUE"""),1.6)</f>
        <v>1.6</v>
      </c>
      <c r="J28" s="16">
        <f>IFERROR(__xludf.DUMMYFUNCTION("""COMPUTED_VALUE"""),477.0)</f>
        <v>477</v>
      </c>
      <c r="K28" s="17">
        <f>IFERROR(__xludf.DUMMYFUNCTION("""COMPUTED_VALUE"""),0.03267123287671233)</f>
        <v>0.03267123288</v>
      </c>
      <c r="L28" s="17">
        <f>IFERROR(__xludf.DUMMYFUNCTION("""COMPUTED_VALUE"""),0.9673287671232876)</f>
        <v>0.9673287671</v>
      </c>
      <c r="M28" s="18">
        <f>IFERROR(__xludf.DUMMYFUNCTION("""COMPUTED_VALUE"""),35.0)</f>
        <v>35</v>
      </c>
      <c r="N28" s="7">
        <f>IFERROR(__xludf.DUMMYFUNCTION("""COMPUTED_VALUE"""),1082.0585760000001)</f>
        <v>1082.058576</v>
      </c>
      <c r="O28" s="9">
        <f>IFERROR(__xludf.DUMMYFUNCTION("""COMPUTED_VALUE"""),1.58)</f>
        <v>1.58</v>
      </c>
      <c r="P28" s="7">
        <f>IFERROR(__xludf.DUMMYFUNCTION("""COMPUTED_VALUE"""),14123.0)</f>
        <v>14123</v>
      </c>
      <c r="Q28" s="8">
        <f>IFERROR(__xludf.DUMMYFUNCTION("""COMPUTED_VALUE"""),34242.36)</f>
        <v>34242.36</v>
      </c>
      <c r="R28" s="8">
        <f>IFERROR(__xludf.DUMMYFUNCTION("""COMPUTED_VALUE"""),2.424581179636055)</f>
        <v>2.42458118</v>
      </c>
      <c r="S28" s="8">
        <f>IFERROR(__xludf.DUMMYFUNCTION("""COMPUTED_VALUE"""),11.516760603271258)</f>
        <v>11.5167606</v>
      </c>
      <c r="T28" s="19">
        <f>IFERROR(__xludf.DUMMYFUNCTION("""COMPUTED_VALUE"""),10.065493875238971)</f>
        <v>10.06549388</v>
      </c>
      <c r="U28" s="19">
        <f>IFERROR(__xludf.DUMMYFUNCTION("""COMPUTED_VALUE"""),1.4512667280322873)</f>
        <v>1.451266728</v>
      </c>
      <c r="V28" s="19">
        <f>IFERROR(__xludf.DUMMYFUNCTION("""COMPUTED_VALUE"""),4.75)</f>
        <v>4.75</v>
      </c>
      <c r="W28" s="19">
        <f>IFERROR(__xludf.DUMMYFUNCTION("""COMPUTED_VALUE"""),4.151436115968642)</f>
        <v>4.151436116</v>
      </c>
      <c r="X28" s="19">
        <f>IFERROR(__xludf.DUMMYFUNCTION("""COMPUTED_VALUE"""),0.5985638840313579)</f>
        <v>0.598563884</v>
      </c>
      <c r="Y28" s="19">
        <f>IFERROR(__xludf.DUMMYFUNCTION("""COMPUTED_VALUE"""),1.451266728032287)</f>
        <v>1.451266728</v>
      </c>
      <c r="Z28" s="11">
        <f>IFERROR(__xludf.DUMMYFUNCTION("""COMPUTED_VALUE"""),371.10239292526444)</f>
        <v>371.1023929</v>
      </c>
      <c r="AA28" s="20" t="str">
        <f>IFERROR(__xludf.DUMMYFUNCTION("""COMPUTED_VALUE"""),"VERY GOOD")</f>
        <v>VERY GOOD</v>
      </c>
      <c r="AB28" s="10"/>
      <c r="AC28" s="10"/>
      <c r="AD28" s="10"/>
      <c r="AE28" s="10"/>
      <c r="AF28" s="10"/>
    </row>
    <row r="29">
      <c r="A29" s="13" t="s">
        <v>17</v>
      </c>
      <c r="B29" s="14">
        <v>2021.0</v>
      </c>
      <c r="C29" s="15">
        <v>44228.0</v>
      </c>
      <c r="D29" s="8">
        <f>IFERROR(__xludf.DUMMYFUNCTION("""COMPUTED_VALUE"""),131595.49)</f>
        <v>131595.49</v>
      </c>
      <c r="E29" s="8">
        <f>IFERROR(__xludf.DUMMYFUNCTION("""COMPUTED_VALUE"""),134178.15)</f>
        <v>134178.15</v>
      </c>
      <c r="F29" s="8">
        <f t="shared" si="1"/>
        <v>-2582.66</v>
      </c>
      <c r="G29" s="7" t="str">
        <f>IFERROR(__xludf.DUMMYFUNCTION("""COMPUTED_VALUE"""),"Kee Sung Agriculture (M) Sdn Bhd")</f>
        <v>Kee Sung Agriculture (M) Sdn Bhd</v>
      </c>
      <c r="H29" s="7">
        <f>IFERROR(__xludf.DUMMYFUNCTION("""COMPUTED_VALUE"""),14600.0)</f>
        <v>14600</v>
      </c>
      <c r="I29" s="16">
        <f>IFERROR(__xludf.DUMMYFUNCTION("""COMPUTED_VALUE"""),1.6)</f>
        <v>1.6</v>
      </c>
      <c r="J29" s="16">
        <f>IFERROR(__xludf.DUMMYFUNCTION("""COMPUTED_VALUE"""),387.0)</f>
        <v>387</v>
      </c>
      <c r="K29" s="17">
        <f>IFERROR(__xludf.DUMMYFUNCTION("""COMPUTED_VALUE"""),0.026506849315068495)</f>
        <v>0.02650684932</v>
      </c>
      <c r="L29" s="17">
        <f>IFERROR(__xludf.DUMMYFUNCTION("""COMPUTED_VALUE"""),0.9734931506849315)</f>
        <v>0.9734931507</v>
      </c>
      <c r="M29" s="18">
        <f>IFERROR(__xludf.DUMMYFUNCTION("""COMPUTED_VALUE"""),35.0)</f>
        <v>35</v>
      </c>
      <c r="N29" s="7">
        <f>IFERROR(__xludf.DUMMYFUNCTION("""COMPUTED_VALUE"""),1014.891912)</f>
        <v>1014.891912</v>
      </c>
      <c r="O29" s="9">
        <f>IFERROR(__xludf.DUMMYFUNCTION("""COMPUTED_VALUE"""),1.59)</f>
        <v>1.59</v>
      </c>
      <c r="P29" s="7">
        <f>IFERROR(__xludf.DUMMYFUNCTION("""COMPUTED_VALUE"""),14213.0)</f>
        <v>14213</v>
      </c>
      <c r="Q29" s="8">
        <f>IFERROR(__xludf.DUMMYFUNCTION("""COMPUTED_VALUE"""),31914.84)</f>
        <v>31914.84</v>
      </c>
      <c r="R29" s="8">
        <f>IFERROR(__xludf.DUMMYFUNCTION("""COMPUTED_VALUE"""),2.2454682333075353)</f>
        <v>2.245468233</v>
      </c>
      <c r="S29" s="8">
        <f>IFERROR(__xludf.DUMMYFUNCTION("""COMPUTED_VALUE"""),9.258811651305143)</f>
        <v>9.258811651</v>
      </c>
      <c r="T29" s="19">
        <f>IFERROR(__xludf.DUMMYFUNCTION("""COMPUTED_VALUE"""),9.44052276085274)</f>
        <v>9.440522761</v>
      </c>
      <c r="U29" s="19">
        <f>IFERROR(__xludf.DUMMYFUNCTION("""COMPUTED_VALUE"""),-0.18171110954759762)</f>
        <v>-0.1817111095</v>
      </c>
      <c r="V29" s="19">
        <f>IFERROR(__xludf.DUMMYFUNCTION("""COMPUTED_VALUE"""),4.123332280531565)</f>
        <v>4.123332281</v>
      </c>
      <c r="W29" s="19">
        <f>IFERROR(__xludf.DUMMYFUNCTION("""COMPUTED_VALUE"""),4.204255763149682)</f>
        <v>4.204255763</v>
      </c>
      <c r="X29" s="19">
        <f>IFERROR(__xludf.DUMMYFUNCTION("""COMPUTED_VALUE"""),-0.08092348261811733)</f>
        <v>-0.08092348262</v>
      </c>
      <c r="Y29" s="19">
        <f>IFERROR(__xludf.DUMMYFUNCTION("""COMPUTED_VALUE"""),-0.1817111095475975)</f>
        <v>-0.1817111095</v>
      </c>
      <c r="Z29" s="11">
        <f>IFERROR(__xludf.DUMMYFUNCTION("""COMPUTED_VALUE"""),343.70250710777975)</f>
        <v>343.7025071</v>
      </c>
      <c r="AA29" s="20" t="str">
        <f>IFERROR(__xludf.DUMMYFUNCTION("""COMPUTED_VALUE"""),"VERY BAD")</f>
        <v>VERY BAD</v>
      </c>
      <c r="AB29" s="10"/>
      <c r="AC29" s="10"/>
      <c r="AD29" s="10"/>
      <c r="AE29" s="10"/>
      <c r="AF29" s="10"/>
    </row>
    <row r="30">
      <c r="A30" s="13" t="s">
        <v>17</v>
      </c>
      <c r="B30" s="14">
        <v>2021.0</v>
      </c>
      <c r="C30" s="15">
        <v>44256.0</v>
      </c>
      <c r="D30" s="8">
        <f>IFERROR(__xludf.DUMMYFUNCTION("""COMPUTED_VALUE"""),144040.14)</f>
        <v>144040.14</v>
      </c>
      <c r="E30" s="8">
        <f>IFERROR(__xludf.DUMMYFUNCTION("""COMPUTED_VALUE"""),133359.3)</f>
        <v>133359.3</v>
      </c>
      <c r="F30" s="8">
        <f t="shared" si="1"/>
        <v>10680.84</v>
      </c>
      <c r="G30" s="7" t="str">
        <f>IFERROR(__xludf.DUMMYFUNCTION("""COMPUTED_VALUE"""),"Kee Sung Agriculture (M) Sdn Bhd")</f>
        <v>Kee Sung Agriculture (M) Sdn Bhd</v>
      </c>
      <c r="H30" s="7">
        <f>IFERROR(__xludf.DUMMYFUNCTION("""COMPUTED_VALUE"""),14600.0)</f>
        <v>14600</v>
      </c>
      <c r="I30" s="16">
        <f>IFERROR(__xludf.DUMMYFUNCTION("""COMPUTED_VALUE"""),1.6)</f>
        <v>1.6</v>
      </c>
      <c r="J30" s="16">
        <f>IFERROR(__xludf.DUMMYFUNCTION("""COMPUTED_VALUE"""),601.0)</f>
        <v>601</v>
      </c>
      <c r="K30" s="17">
        <f>IFERROR(__xludf.DUMMYFUNCTION("""COMPUTED_VALUE"""),0.041164383561643834)</f>
        <v>0.04116438356</v>
      </c>
      <c r="L30" s="17">
        <f>IFERROR(__xludf.DUMMYFUNCTION("""COMPUTED_VALUE"""),0.9588356164383561)</f>
        <v>0.9588356164</v>
      </c>
      <c r="M30" s="18">
        <f>IFERROR(__xludf.DUMMYFUNCTION("""COMPUTED_VALUE"""),35.0)</f>
        <v>35</v>
      </c>
      <c r="N30" s="7">
        <f>IFERROR(__xludf.DUMMYFUNCTION("""COMPUTED_VALUE"""),1000.69992)</f>
        <v>1000.69992</v>
      </c>
      <c r="O30" s="9">
        <f>IFERROR(__xludf.DUMMYFUNCTION("""COMPUTED_VALUE"""),1.65)</f>
        <v>1.65</v>
      </c>
      <c r="P30" s="7">
        <f>IFERROR(__xludf.DUMMYFUNCTION("""COMPUTED_VALUE"""),13999.0)</f>
        <v>13999</v>
      </c>
      <c r="Q30" s="8">
        <f>IFERROR(__xludf.DUMMYFUNCTION("""COMPUTED_VALUE"""),30324.24)</f>
        <v>30324.24</v>
      </c>
      <c r="R30" s="8">
        <f>IFERROR(__xludf.DUMMYFUNCTION("""COMPUTED_VALUE"""),2.1661718694192444)</f>
        <v>2.166171869</v>
      </c>
      <c r="S30" s="8">
        <f>IFERROR(__xludf.DUMMYFUNCTION("""COMPUTED_VALUE"""),10.289316379741411)</f>
        <v>10.28931638</v>
      </c>
      <c r="T30" s="19">
        <f>IFERROR(__xludf.DUMMYFUNCTION("""COMPUTED_VALUE"""),9.526344738909922)</f>
        <v>9.526344739</v>
      </c>
      <c r="U30" s="19">
        <f>IFERROR(__xludf.DUMMYFUNCTION("""COMPUTED_VALUE"""),0.7629716408314895)</f>
        <v>0.7629716408</v>
      </c>
      <c r="V30" s="19">
        <f>IFERROR(__xludf.DUMMYFUNCTION("""COMPUTED_VALUE"""),4.75)</f>
        <v>4.75</v>
      </c>
      <c r="W30" s="19">
        <f>IFERROR(__xludf.DUMMYFUNCTION("""COMPUTED_VALUE"""),4.3977788066576435)</f>
        <v>4.397778807</v>
      </c>
      <c r="X30" s="19">
        <f>IFERROR(__xludf.DUMMYFUNCTION("""COMPUTED_VALUE"""),0.35222119334235646)</f>
        <v>0.3522211933</v>
      </c>
      <c r="Y30" s="19">
        <f>IFERROR(__xludf.DUMMYFUNCTION("""COMPUTED_VALUE"""),0.7629716408314898)</f>
        <v>0.7629716408</v>
      </c>
      <c r="Z30" s="11">
        <f>IFERROR(__xludf.DUMMYFUNCTION("""COMPUTED_VALUE"""),314.6973848069739)</f>
        <v>314.6973848</v>
      </c>
      <c r="AA30" s="20" t="str">
        <f>IFERROR(__xludf.DUMMYFUNCTION("""COMPUTED_VALUE"""),"JUST AVERAGE")</f>
        <v>JUST AVERAGE</v>
      </c>
      <c r="AB30" s="10"/>
      <c r="AC30" s="10"/>
      <c r="AD30" s="10"/>
      <c r="AE30" s="10"/>
      <c r="AF30" s="10"/>
    </row>
    <row r="31">
      <c r="A31" s="13" t="s">
        <v>17</v>
      </c>
      <c r="B31" s="14">
        <v>2022.0</v>
      </c>
      <c r="C31" s="15">
        <v>44562.0</v>
      </c>
      <c r="D31" s="8">
        <f>IFERROR(__xludf.DUMMYFUNCTION("TRANSPOSE(IMPORTRANGE(""1OP-qxVLNURBqstk-WZQd8qB2vYxDQLc8s35zWl_CMzo"", ""2022!C12:G12""))"),291722.02)</f>
        <v>291722.02</v>
      </c>
      <c r="E31" s="8">
        <f>IFERROR(__xludf.DUMMYFUNCTION("TRANSPOSE(IMPORTRANGE(""1OP-qxVLNURBqstk-WZQd8qB2vYxDQLc8s35zWl_CMzo"", ""2022!C41:G41""))"),283962.29999999993)</f>
        <v>283962.3</v>
      </c>
      <c r="F31" s="8">
        <f t="shared" si="1"/>
        <v>7759.72</v>
      </c>
      <c r="G31" s="7" t="str">
        <f>IFERROR(__xludf.DUMMYFUNCTION("TRANSPOSE(IMPORTRANGE(""1OP-qxVLNURBqstk-WZQd8qB2vYxDQLc8s35zWl_CMzo"", ""2022!C49:G69""))"),"Kee Sung Agriculture (M) Sdn Bhd")</f>
        <v>Kee Sung Agriculture (M) Sdn Bhd</v>
      </c>
      <c r="H31" s="7">
        <f>IFERROR(__xludf.DUMMYFUNCTION("""COMPUTED_VALUE"""),28300.0)</f>
        <v>28300</v>
      </c>
      <c r="I31" s="16">
        <f>IFERROR(__xludf.DUMMYFUNCTION("""COMPUTED_VALUE"""),1.83)</f>
        <v>1.83</v>
      </c>
      <c r="J31" s="16">
        <f>IFERROR(__xludf.DUMMYFUNCTION("""COMPUTED_VALUE"""),1408.0)</f>
        <v>1408</v>
      </c>
      <c r="K31" s="17">
        <f>IFERROR(__xludf.DUMMYFUNCTION("""COMPUTED_VALUE"""),0.049752650176678445)</f>
        <v>0.04975265018</v>
      </c>
      <c r="L31" s="17">
        <f>IFERROR(__xludf.DUMMYFUNCTION("""COMPUTED_VALUE"""),0.9502473498233216)</f>
        <v>0.9502473498</v>
      </c>
      <c r="M31" s="18">
        <f>IFERROR(__xludf.DUMMYFUNCTION("""COMPUTED_VALUE"""),35.0)</f>
        <v>35</v>
      </c>
      <c r="N31" s="7">
        <f>IFERROR(__xludf.DUMMYFUNCTION("""COMPUTED_VALUE"""),1891.3968)</f>
        <v>1891.3968</v>
      </c>
      <c r="O31" s="9">
        <f>IFERROR(__xludf.DUMMYFUNCTION("""COMPUTED_VALUE"""),1.71)</f>
        <v>1.71</v>
      </c>
      <c r="P31" s="7">
        <f>IFERROR(__xludf.DUMMYFUNCTION("""COMPUTED_VALUE"""),26892.0)</f>
        <v>26892</v>
      </c>
      <c r="Q31" s="8">
        <f>IFERROR(__xludf.DUMMYFUNCTION("""COMPUTED_VALUE"""),55304.0)</f>
        <v>55304</v>
      </c>
      <c r="R31" s="8">
        <f>IFERROR(__xludf.DUMMYFUNCTION("""COMPUTED_VALUE"""),2.056522385839655)</f>
        <v>2.056522386</v>
      </c>
      <c r="S31" s="8">
        <f>IFERROR(__xludf.DUMMYFUNCTION("""COMPUTED_VALUE"""),10.847910902870742)</f>
        <v>10.8479109</v>
      </c>
      <c r="T31" s="19">
        <f>IFERROR(__xludf.DUMMYFUNCTION("""COMPUTED_VALUE"""),10.559359660865683)</f>
        <v>10.55935966</v>
      </c>
      <c r="U31" s="19">
        <f>IFERROR(__xludf.DUMMYFUNCTION("""COMPUTED_VALUE"""),0.28855124200505955)</f>
        <v>0.288551242</v>
      </c>
      <c r="V31" s="19">
        <f>IFERROR(__xludf.DUMMYFUNCTION("""COMPUTED_VALUE"""),5.274881021264285)</f>
        <v>5.274881021</v>
      </c>
      <c r="W31" s="19">
        <f>IFERROR(__xludf.DUMMYFUNCTION("""COMPUTED_VALUE"""),5.134570736293938)</f>
        <v>5.134570736</v>
      </c>
      <c r="X31" s="19">
        <f>IFERROR(__xludf.DUMMYFUNCTION("""COMPUTED_VALUE"""),0.14031028497034725)</f>
        <v>0.140310285</v>
      </c>
      <c r="Y31" s="19">
        <f>IFERROR(__xludf.DUMMYFUNCTION("""COMPUTED_VALUE"""),0.28855124200506055)</f>
        <v>0.288551242</v>
      </c>
      <c r="Z31" s="11">
        <f>IFERROR(__xludf.DUMMYFUNCTION("""COMPUTED_VALUE"""),285.7024776310623)</f>
        <v>285.7024776</v>
      </c>
      <c r="AA31" s="20" t="str">
        <f>IFERROR(__xludf.DUMMYFUNCTION("""COMPUTED_VALUE"""),"VERY BAD")</f>
        <v>VERY BAD</v>
      </c>
      <c r="AB31" s="10"/>
      <c r="AC31" s="10"/>
      <c r="AD31" s="10"/>
      <c r="AE31" s="10"/>
      <c r="AF31" s="10"/>
    </row>
    <row r="32">
      <c r="A32" s="13" t="s">
        <v>17</v>
      </c>
      <c r="B32" s="14">
        <v>2022.0</v>
      </c>
      <c r="C32" s="15">
        <v>44593.0</v>
      </c>
      <c r="D32" s="8">
        <f>IFERROR(__xludf.DUMMYFUNCTION("""COMPUTED_VALUE"""),319701.07)</f>
        <v>319701.07</v>
      </c>
      <c r="E32" s="8">
        <f>IFERROR(__xludf.DUMMYFUNCTION("""COMPUTED_VALUE"""),298085.95)</f>
        <v>298085.95</v>
      </c>
      <c r="F32" s="8">
        <f t="shared" si="1"/>
        <v>21615.12</v>
      </c>
      <c r="G32" s="7" t="str">
        <f>IFERROR(__xludf.DUMMYFUNCTION("""COMPUTED_VALUE"""),"Kee Sung Agriculture (M) Sdn Bhd")</f>
        <v>Kee Sung Agriculture (M) Sdn Bhd</v>
      </c>
      <c r="H32" s="7">
        <f>IFERROR(__xludf.DUMMYFUNCTION("""COMPUTED_VALUE"""),29200.0)</f>
        <v>29200</v>
      </c>
      <c r="I32" s="16">
        <f>IFERROR(__xludf.DUMMYFUNCTION("""COMPUTED_VALUE"""),1.83)</f>
        <v>1.83</v>
      </c>
      <c r="J32" s="16">
        <f>IFERROR(__xludf.DUMMYFUNCTION("""COMPUTED_VALUE"""),1558.0)</f>
        <v>1558</v>
      </c>
      <c r="K32" s="17">
        <f>IFERROR(__xludf.DUMMYFUNCTION("""COMPUTED_VALUE"""),0.053356164383561645)</f>
        <v>0.05335616438</v>
      </c>
      <c r="L32" s="17">
        <f>IFERROR(__xludf.DUMMYFUNCTION("""COMPUTED_VALUE"""),0.9466438356164384)</f>
        <v>0.9466438356</v>
      </c>
      <c r="M32" s="18">
        <f>IFERROR(__xludf.DUMMYFUNCTION("""COMPUTED_VALUE"""),35.0)</f>
        <v>35</v>
      </c>
      <c r="N32" s="7">
        <f>IFERROR(__xludf.DUMMYFUNCTION("""COMPUTED_VALUE"""),1965.0)</f>
        <v>1965</v>
      </c>
      <c r="O32" s="9">
        <f>IFERROR(__xludf.DUMMYFUNCTION("""COMPUTED_VALUE"""),1.61)</f>
        <v>1.61</v>
      </c>
      <c r="P32" s="7">
        <f>IFERROR(__xludf.DUMMYFUNCTION("""COMPUTED_VALUE"""),27642.0)</f>
        <v>27642</v>
      </c>
      <c r="Q32" s="8">
        <f>IFERROR(__xludf.DUMMYFUNCTION("""COMPUTED_VALUE"""),60864.96)</f>
        <v>60864.96</v>
      </c>
      <c r="R32" s="8">
        <f>IFERROR(__xludf.DUMMYFUNCTION("""COMPUTED_VALUE"""),2.2)</f>
        <v>2.2</v>
      </c>
      <c r="S32" s="8">
        <f>IFERROR(__xludf.DUMMYFUNCTION("""COMPUTED_VALUE"""),11.565772013602489)</f>
        <v>11.56577201</v>
      </c>
      <c r="T32" s="19">
        <f>IFERROR(__xludf.DUMMYFUNCTION("""COMPUTED_VALUE"""),10.783805440995588)</f>
        <v>10.78380544</v>
      </c>
      <c r="U32" s="19">
        <f>IFERROR(__xludf.DUMMYFUNCTION("""COMPUTED_VALUE"""),0.7819665726069012)</f>
        <v>0.7819665726</v>
      </c>
      <c r="V32" s="19">
        <f>IFERROR(__xludf.DUMMYFUNCTION("""COMPUTED_VALUE"""),5.252629263208257)</f>
        <v>5.252629263</v>
      </c>
      <c r="W32" s="19">
        <f>IFERROR(__xludf.DUMMYFUNCTION("""COMPUTED_VALUE"""),4.897496852047549)</f>
        <v>4.897496852</v>
      </c>
      <c r="X32" s="19">
        <f>IFERROR(__xludf.DUMMYFUNCTION("""COMPUTED_VALUE"""),0.3551324111607075)</f>
        <v>0.3551324112</v>
      </c>
      <c r="Y32" s="19">
        <f>IFERROR(__xludf.DUMMYFUNCTION("""COMPUTED_VALUE"""),0.7819665726069024)</f>
        <v>0.7819665726</v>
      </c>
      <c r="Z32" s="11">
        <f>IFERROR(__xludf.DUMMYFUNCTION("""COMPUTED_VALUE"""),323.38764570747895)</f>
        <v>323.3876457</v>
      </c>
      <c r="AA32" s="20" t="str">
        <f>IFERROR(__xludf.DUMMYFUNCTION("""COMPUTED_VALUE"""),"JUST AVERAGE")</f>
        <v>JUST AVERAGE</v>
      </c>
      <c r="AB32" s="10"/>
      <c r="AC32" s="10"/>
      <c r="AD32" s="10"/>
      <c r="AE32" s="10"/>
      <c r="AF32" s="10"/>
    </row>
    <row r="33">
      <c r="A33" s="13" t="s">
        <v>17</v>
      </c>
      <c r="B33" s="14">
        <v>2022.0</v>
      </c>
      <c r="C33" s="15">
        <v>44621.0</v>
      </c>
      <c r="D33" s="8">
        <f>IFERROR(__xludf.DUMMYFUNCTION("""COMPUTED_VALUE"""),418665.73)</f>
        <v>418665.73</v>
      </c>
      <c r="E33" s="8">
        <f>IFERROR(__xludf.DUMMYFUNCTION("""COMPUTED_VALUE"""),378282.29000000004)</f>
        <v>378282.29</v>
      </c>
      <c r="F33" s="8">
        <f t="shared" si="1"/>
        <v>40383.44</v>
      </c>
      <c r="G33" s="7" t="str">
        <f>IFERROR(__xludf.DUMMYFUNCTION("""COMPUTED_VALUE"""),"Chop Cheong Bee Sdn Bhd")</f>
        <v>Chop Cheong Bee Sdn Bhd</v>
      </c>
      <c r="H33" s="7">
        <f>IFERROR(__xludf.DUMMYFUNCTION("""COMPUTED_VALUE"""),29200.0)</f>
        <v>29200</v>
      </c>
      <c r="I33" s="16">
        <f>IFERROR(__xludf.DUMMYFUNCTION("""COMPUTED_VALUE"""),2.03)</f>
        <v>2.03</v>
      </c>
      <c r="J33" s="16">
        <f>IFERROR(__xludf.DUMMYFUNCTION("""COMPUTED_VALUE"""),1570.0)</f>
        <v>1570</v>
      </c>
      <c r="K33" s="17">
        <f>IFERROR(__xludf.DUMMYFUNCTION("""COMPUTED_VALUE"""),0.053767123287671234)</f>
        <v>0.05376712329</v>
      </c>
      <c r="L33" s="17">
        <f>IFERROR(__xludf.DUMMYFUNCTION("""COMPUTED_VALUE"""),0.9462328767123288)</f>
        <v>0.9462328767</v>
      </c>
      <c r="M33" s="18">
        <f>IFERROR(__xludf.DUMMYFUNCTION("""COMPUTED_VALUE"""),35.0)</f>
        <v>35</v>
      </c>
      <c r="N33" s="7">
        <f>IFERROR(__xludf.DUMMYFUNCTION("""COMPUTED_VALUE"""),2118.0)</f>
        <v>2118</v>
      </c>
      <c r="O33" s="16">
        <f>IFERROR(__xludf.DUMMYFUNCTION("""COMPUTED_VALUE"""),1.6)</f>
        <v>1.6</v>
      </c>
      <c r="P33" s="7">
        <f>IFERROR(__xludf.DUMMYFUNCTION("""COMPUTED_VALUE"""),27630.0)</f>
        <v>27630</v>
      </c>
      <c r="Q33" s="8">
        <f>IFERROR(__xludf.DUMMYFUNCTION("""COMPUTED_VALUE"""),66049.08)</f>
        <v>66049.08</v>
      </c>
      <c r="R33" s="8">
        <f>IFERROR(__xludf.DUMMYFUNCTION("""COMPUTED_VALUE"""),2.390484256243214)</f>
        <v>2.390484256</v>
      </c>
      <c r="S33" s="8">
        <f>IFERROR(__xludf.DUMMYFUNCTION("""COMPUTED_VALUE"""),15.152577994933043)</f>
        <v>15.15257799</v>
      </c>
      <c r="T33" s="19">
        <f>IFERROR(__xludf.DUMMYFUNCTION("""COMPUTED_VALUE"""),13.690998552298227)</f>
        <v>13.69099855</v>
      </c>
      <c r="U33" s="19">
        <f>IFERROR(__xludf.DUMMYFUNCTION("""COMPUTED_VALUE"""),1.4615794426348163)</f>
        <v>1.461579443</v>
      </c>
      <c r="V33" s="19">
        <f>IFERROR(__xludf.DUMMYFUNCTION("""COMPUTED_VALUE"""),6.154146734519239)</f>
        <v>6.154146735</v>
      </c>
      <c r="W33" s="19">
        <f>IFERROR(__xludf.DUMMYFUNCTION("""COMPUTED_VALUE"""),5.727290826760949)</f>
        <v>5.727290827</v>
      </c>
      <c r="X33" s="19">
        <f>IFERROR(__xludf.DUMMYFUNCTION("""COMPUTED_VALUE"""),0.4268559077582905)</f>
        <v>0.4268559078</v>
      </c>
      <c r="Y33" s="19">
        <f>IFERROR(__xludf.DUMMYFUNCTION("""COMPUTED_VALUE"""),1.4615794426348152)</f>
        <v>1.461579443</v>
      </c>
      <c r="Z33" s="11">
        <f>IFERROR(__xludf.DUMMYFUNCTION("""COMPUTED_VALUE"""),353.4304366438356)</f>
        <v>353.4304366</v>
      </c>
      <c r="AA33" s="20" t="str">
        <f>IFERROR(__xludf.DUMMYFUNCTION("""COMPUTED_VALUE"""),"VERY GOOD")</f>
        <v>VERY GOOD</v>
      </c>
      <c r="AB33" s="10"/>
      <c r="AC33" s="10"/>
      <c r="AD33" s="10"/>
      <c r="AE33" s="10"/>
      <c r="AF33" s="10"/>
    </row>
    <row r="34">
      <c r="A34" s="13" t="s">
        <v>17</v>
      </c>
      <c r="B34" s="14">
        <v>2022.0</v>
      </c>
      <c r="C34" s="15">
        <v>44652.0</v>
      </c>
      <c r="D34" s="8">
        <f>IFERROR(__xludf.DUMMYFUNCTION("""COMPUTED_VALUE"""),367791.55)</f>
        <v>367791.55</v>
      </c>
      <c r="E34" s="8">
        <f>IFERROR(__xludf.DUMMYFUNCTION("""COMPUTED_VALUE"""),346213.6)</f>
        <v>346213.6</v>
      </c>
      <c r="F34" s="8">
        <f t="shared" si="1"/>
        <v>21577.95</v>
      </c>
      <c r="G34" s="7" t="str">
        <f>IFERROR(__xludf.DUMMYFUNCTION("""COMPUTED_VALUE"""),"Chop Cheong Bee Sdn Bhd")</f>
        <v>Chop Cheong Bee Sdn Bhd</v>
      </c>
      <c r="H34" s="7">
        <f>IFERROR(__xludf.DUMMYFUNCTION("""COMPUTED_VALUE"""),29200.0)</f>
        <v>29200</v>
      </c>
      <c r="I34" s="16">
        <f>IFERROR(__xludf.DUMMYFUNCTION("""COMPUTED_VALUE"""),2.03)</f>
        <v>2.03</v>
      </c>
      <c r="J34" s="16">
        <f>IFERROR(__xludf.DUMMYFUNCTION("""COMPUTED_VALUE"""),1766.0)</f>
        <v>1766</v>
      </c>
      <c r="K34" s="17">
        <f>IFERROR(__xludf.DUMMYFUNCTION("""COMPUTED_VALUE"""),0.06047945205479452)</f>
        <v>0.06047945205</v>
      </c>
      <c r="L34" s="17">
        <f>IFERROR(__xludf.DUMMYFUNCTION("""COMPUTED_VALUE"""),0.9395205479452055)</f>
        <v>0.9395205479</v>
      </c>
      <c r="M34" s="18">
        <f>IFERROR(__xludf.DUMMYFUNCTION("""COMPUTED_VALUE"""),35.0)</f>
        <v>35</v>
      </c>
      <c r="N34" s="7">
        <f>IFERROR(__xludf.DUMMYFUNCTION("""COMPUTED_VALUE"""),2057.0)</f>
        <v>2057</v>
      </c>
      <c r="O34" s="9">
        <f>IFERROR(__xludf.DUMMYFUNCTION("""COMPUTED_VALUE"""),1.72)</f>
        <v>1.72</v>
      </c>
      <c r="P34" s="7">
        <f>IFERROR(__xludf.DUMMYFUNCTION("""COMPUTED_VALUE"""),27434.0)</f>
        <v>27434</v>
      </c>
      <c r="Q34" s="8">
        <f>IFERROR(__xludf.DUMMYFUNCTION("""COMPUTED_VALUE"""),59639.58)</f>
        <v>59639.58</v>
      </c>
      <c r="R34" s="8">
        <f>IFERROR(__xludf.DUMMYFUNCTION("""COMPUTED_VALUE"""),2.1739294306335206)</f>
        <v>2.173929431</v>
      </c>
      <c r="S34" s="8">
        <f>IFERROR(__xludf.DUMMYFUNCTION("""COMPUTED_VALUE"""),13.406413574396733)</f>
        <v>13.40641357</v>
      </c>
      <c r="T34" s="19">
        <f>IFERROR(__xludf.DUMMYFUNCTION("""COMPUTED_VALUE"""),12.619873150105708)</f>
        <v>12.61987315</v>
      </c>
      <c r="U34" s="19">
        <f>IFERROR(__xludf.DUMMYFUNCTION("""COMPUTED_VALUE"""),0.7865404242910259)</f>
        <v>0.7865404243</v>
      </c>
      <c r="V34" s="19">
        <f>IFERROR(__xludf.DUMMYFUNCTION("""COMPUTED_VALUE"""),6.166903757538198)</f>
        <v>6.166903758</v>
      </c>
      <c r="W34" s="19">
        <f>IFERROR(__xludf.DUMMYFUNCTION("""COMPUTED_VALUE"""),5.8050978896900345)</f>
        <v>5.80509789</v>
      </c>
      <c r="X34" s="19">
        <f>IFERROR(__xludf.DUMMYFUNCTION("""COMPUTED_VALUE"""),0.3618058678481635)</f>
        <v>0.3618058678</v>
      </c>
      <c r="Y34" s="19">
        <f>IFERROR(__xludf.DUMMYFUNCTION("""COMPUTED_VALUE"""),0.7865404242910261)</f>
        <v>0.7865404243</v>
      </c>
      <c r="Z34" s="11">
        <f>IFERROR(__xludf.DUMMYFUNCTION("""COMPUTED_VALUE"""),296.8679316661357)</f>
        <v>296.8679317</v>
      </c>
      <c r="AA34" s="20" t="str">
        <f>IFERROR(__xludf.DUMMYFUNCTION("""COMPUTED_VALUE"""),"JUST AVERAGE")</f>
        <v>JUST AVERAGE</v>
      </c>
      <c r="AB34" s="10"/>
      <c r="AC34" s="10"/>
      <c r="AD34" s="10"/>
      <c r="AE34" s="10"/>
      <c r="AF34" s="10"/>
    </row>
    <row r="35">
      <c r="A35" s="13" t="s">
        <v>17</v>
      </c>
      <c r="B35" s="14">
        <v>2022.0</v>
      </c>
      <c r="C35" s="15">
        <v>44682.0</v>
      </c>
      <c r="D35" s="8">
        <f>IFERROR(__xludf.DUMMYFUNCTION("""COMPUTED_VALUE"""),447511.4)</f>
        <v>447511.4</v>
      </c>
      <c r="E35" s="8">
        <f>IFERROR(__xludf.DUMMYFUNCTION("""COMPUTED_VALUE"""),403384.81)</f>
        <v>403384.81</v>
      </c>
      <c r="F35" s="8">
        <f t="shared" si="1"/>
        <v>44126.59</v>
      </c>
      <c r="G35" s="7" t="str">
        <f>IFERROR(__xludf.DUMMYFUNCTION("""COMPUTED_VALUE"""),"Chop Cheong Bee Sdn Bhd")</f>
        <v>Chop Cheong Bee Sdn Bhd</v>
      </c>
      <c r="H35" s="7">
        <f>IFERROR(__xludf.DUMMYFUNCTION("""COMPUTED_VALUE"""),29000.0)</f>
        <v>29000</v>
      </c>
      <c r="I35" s="16">
        <f>IFERROR(__xludf.DUMMYFUNCTION("""COMPUTED_VALUE"""),2.0)</f>
        <v>2</v>
      </c>
      <c r="J35" s="16">
        <f>IFERROR(__xludf.DUMMYFUNCTION("""COMPUTED_VALUE"""),1416.0)</f>
        <v>1416</v>
      </c>
      <c r="K35" s="17">
        <f>IFERROR(__xludf.DUMMYFUNCTION("""COMPUTED_VALUE"""),0.048827586206896555)</f>
        <v>0.04882758621</v>
      </c>
      <c r="L35" s="17">
        <f>IFERROR(__xludf.DUMMYFUNCTION("""COMPUTED_VALUE"""),0.9511724137931035)</f>
        <v>0.9511724138</v>
      </c>
      <c r="M35" s="18">
        <f>IFERROR(__xludf.DUMMYFUNCTION("""COMPUTED_VALUE"""),35.0)</f>
        <v>35</v>
      </c>
      <c r="N35" s="7">
        <f>IFERROR(__xludf.DUMMYFUNCTION("""COMPUTED_VALUE"""),2010.0)</f>
        <v>2010</v>
      </c>
      <c r="O35" s="9">
        <f>IFERROR(__xludf.DUMMYFUNCTION("""COMPUTED_VALUE"""),1.56)</f>
        <v>1.56</v>
      </c>
      <c r="P35" s="7">
        <f>IFERROR(__xludf.DUMMYFUNCTION("""COMPUTED_VALUE"""),27584.0)</f>
        <v>27584</v>
      </c>
      <c r="Q35" s="8">
        <f>IFERROR(__xludf.DUMMYFUNCTION("""COMPUTED_VALUE"""),64219.42)</f>
        <v>64219.42</v>
      </c>
      <c r="R35" s="8">
        <f>IFERROR(__xludf.DUMMYFUNCTION("""COMPUTED_VALUE"""),2.3281402262180975)</f>
        <v>2.328140226</v>
      </c>
      <c r="S35" s="8">
        <f>IFERROR(__xludf.DUMMYFUNCTION("""COMPUTED_VALUE"""),16.22358613689095)</f>
        <v>16.22358614</v>
      </c>
      <c r="T35" s="19">
        <f>IFERROR(__xludf.DUMMYFUNCTION("""COMPUTED_VALUE"""),14.623869272041762)</f>
        <v>14.62386927</v>
      </c>
      <c r="U35" s="19">
        <f>IFERROR(__xludf.DUMMYFUNCTION("""COMPUTED_VALUE"""),1.5997168648491886)</f>
        <v>1.599716865</v>
      </c>
      <c r="V35" s="19">
        <f>IFERROR(__xludf.DUMMYFUNCTION("""COMPUTED_VALUE"""),6.190220964312664)</f>
        <v>6.190220964</v>
      </c>
      <c r="W35" s="19">
        <f>IFERROR(__xludf.DUMMYFUNCTION("""COMPUTED_VALUE"""),6.281352432021342)</f>
        <v>6.281352432</v>
      </c>
      <c r="X35" s="19">
        <f>IFERROR(__xludf.DUMMYFUNCTION("""COMPUTED_VALUE"""),-0.09113146770867786)</f>
        <v>-0.09113146771</v>
      </c>
      <c r="Y35" s="19">
        <f>IFERROR(__xludf.DUMMYFUNCTION("""COMPUTED_VALUE"""),1.5997168648491888)</f>
        <v>1.599716865</v>
      </c>
      <c r="Z35" s="11">
        <f>IFERROR(__xludf.DUMMYFUNCTION("""COMPUTED_VALUE"""),354.8818523430592)</f>
        <v>354.8818523</v>
      </c>
      <c r="AA35" s="20" t="str">
        <f>IFERROR(__xludf.DUMMYFUNCTION("""COMPUTED_VALUE"""),"VERY GOOD")</f>
        <v>VERY GOOD</v>
      </c>
      <c r="AB35" s="10"/>
      <c r="AC35" s="10"/>
      <c r="AD35" s="10"/>
      <c r="AE35" s="10"/>
      <c r="AF35" s="10"/>
    </row>
    <row r="36">
      <c r="A36" s="13" t="s">
        <v>17</v>
      </c>
      <c r="B36" s="14">
        <v>2023.0</v>
      </c>
      <c r="C36" s="15">
        <v>44927.0</v>
      </c>
      <c r="D36" s="8">
        <f>IFERROR(__xludf.DUMMYFUNCTION("TRANSPOSE(IMPORTRANGE(""1OP-qxVLNURBqstk-WZQd8qB2vYxDQLc8s35zWl_CMzo"", ""2023!C12:H12""))"),423764.31)</f>
        <v>423764.31</v>
      </c>
      <c r="E36" s="8">
        <f>IFERROR(__xludf.DUMMYFUNCTION("TRANSPOSE(IMPORTRANGE(""1OP-qxVLNURBqstk-WZQd8qB2vYxDQLc8s35zWl_CMzo"", ""2023!C41:H41""))"),346411.77999999997)</f>
        <v>346411.78</v>
      </c>
      <c r="F36" s="8">
        <f t="shared" si="1"/>
        <v>77352.53</v>
      </c>
      <c r="G36" s="7" t="str">
        <f>IFERROR(__xludf.DUMMYFUNCTION("TRANSPOSE(IMPORTRANGE(""1OP-qxVLNURBqstk-WZQd8qB2vYxDQLc8s35zWl_CMzo"", ""2023!C49:H69""))"),"Chop Cheong Bee Sdn Bhd")</f>
        <v>Chop Cheong Bee Sdn Bhd</v>
      </c>
      <c r="H36" s="7">
        <f>IFERROR(__xludf.DUMMYFUNCTION("""COMPUTED_VALUE"""),29200.0)</f>
        <v>29200</v>
      </c>
      <c r="I36" s="16">
        <f>IFERROR(__xludf.DUMMYFUNCTION("""COMPUTED_VALUE"""),2.0)</f>
        <v>2</v>
      </c>
      <c r="J36" s="16">
        <f>IFERROR(__xludf.DUMMYFUNCTION("""COMPUTED_VALUE"""),1287.0)</f>
        <v>1287</v>
      </c>
      <c r="K36" s="17">
        <f>IFERROR(__xludf.DUMMYFUNCTION("""COMPUTED_VALUE"""),0.044075342465753425)</f>
        <v>0.04407534247</v>
      </c>
      <c r="L36" s="17">
        <f>IFERROR(__xludf.DUMMYFUNCTION("""COMPUTED_VALUE"""),0.9559246575342466)</f>
        <v>0.9559246575</v>
      </c>
      <c r="M36" s="18">
        <f>IFERROR(__xludf.DUMMYFUNCTION("""COMPUTED_VALUE"""),35.0)</f>
        <v>35</v>
      </c>
      <c r="N36" s="7">
        <f>IFERROR(__xludf.DUMMYFUNCTION("""COMPUTED_VALUE"""),2100.71186)</f>
        <v>2100.71186</v>
      </c>
      <c r="O36" s="9">
        <f>IFERROR(__xludf.DUMMYFUNCTION("""COMPUTED_VALUE"""),1.45)</f>
        <v>1.45</v>
      </c>
      <c r="P36" s="7">
        <f>IFERROR(__xludf.DUMMYFUNCTION("""COMPUTED_VALUE"""),27913.0)</f>
        <v>27913</v>
      </c>
      <c r="Q36" s="8">
        <f>IFERROR(__xludf.DUMMYFUNCTION("""COMPUTED_VALUE"""),72438.34)</f>
        <v>72438.34</v>
      </c>
      <c r="R36" s="8">
        <f>IFERROR(__xludf.DUMMYFUNCTION("""COMPUTED_VALUE"""),2.595147064092)</f>
        <v>2.595147064</v>
      </c>
      <c r="S36" s="8">
        <f>IFERROR(__xludf.DUMMYFUNCTION("""COMPUTED_VALUE"""),15.181611077275821)</f>
        <v>15.18161108</v>
      </c>
      <c r="T36" s="19">
        <f>IFERROR(__xludf.DUMMYFUNCTION("""COMPUTED_VALUE"""),12.410410203131157)</f>
        <v>12.4104102</v>
      </c>
      <c r="U36" s="19">
        <f>IFERROR(__xludf.DUMMYFUNCTION("""COMPUTED_VALUE"""),2.7712008741446645)</f>
        <v>2.771200874</v>
      </c>
      <c r="V36" s="19">
        <f>IFERROR(__xludf.DUMMYFUNCTION("""COMPUTED_VALUE"""),5.850000289901729)</f>
        <v>5.85000029</v>
      </c>
      <c r="W36" s="19">
        <f>IFERROR(__xludf.DUMMYFUNCTION("""COMPUTED_VALUE"""),4.782160662433733)</f>
        <v>4.782160662</v>
      </c>
      <c r="X36" s="19">
        <f>IFERROR(__xludf.DUMMYFUNCTION("""COMPUTED_VALUE"""),1.067839627467996)</f>
        <v>1.067839627</v>
      </c>
      <c r="Y36" s="19">
        <f>IFERROR(__xludf.DUMMYFUNCTION("""COMPUTED_VALUE"""),1.067839627467996)</f>
        <v>1.067839627</v>
      </c>
      <c r="Z36" s="11">
        <f>IFERROR(__xludf.DUMMYFUNCTION("""COMPUTED_VALUE"""),427.7181152574398)</f>
        <v>427.7181153</v>
      </c>
      <c r="AA36" s="20" t="str">
        <f>IFERROR(__xludf.DUMMYFUNCTION("""COMPUTED_VALUE"""),"VERY GOOD")</f>
        <v>VERY GOOD</v>
      </c>
      <c r="AB36" s="10"/>
      <c r="AC36" s="10"/>
      <c r="AD36" s="10"/>
      <c r="AE36" s="10"/>
      <c r="AF36" s="10"/>
    </row>
    <row r="37">
      <c r="A37" s="13" t="s">
        <v>17</v>
      </c>
      <c r="B37" s="14">
        <v>2023.0</v>
      </c>
      <c r="C37" s="15">
        <v>44958.0</v>
      </c>
      <c r="D37" s="8">
        <f>IFERROR(__xludf.DUMMYFUNCTION("""COMPUTED_VALUE"""),564908.67)</f>
        <v>564908.67</v>
      </c>
      <c r="E37" s="8">
        <f>IFERROR(__xludf.DUMMYFUNCTION("""COMPUTED_VALUE"""),500223.4)</f>
        <v>500223.4</v>
      </c>
      <c r="F37" s="8">
        <f t="shared" si="1"/>
        <v>64685.27</v>
      </c>
      <c r="G37" s="7" t="str">
        <f>IFERROR(__xludf.DUMMYFUNCTION("""COMPUTED_VALUE"""),"Chop Cheong Bee Sdn Bhd")</f>
        <v>Chop Cheong Bee Sdn Bhd</v>
      </c>
      <c r="H37" s="7">
        <f>IFERROR(__xludf.DUMMYFUNCTION("""COMPUTED_VALUE"""),43800.0)</f>
        <v>43800</v>
      </c>
      <c r="I37" s="16">
        <f>IFERROR(__xludf.DUMMYFUNCTION("""COMPUTED_VALUE"""),2.0)</f>
        <v>2</v>
      </c>
      <c r="J37" s="16">
        <f>IFERROR(__xludf.DUMMYFUNCTION("""COMPUTED_VALUE"""),2042.0)</f>
        <v>2042</v>
      </c>
      <c r="K37" s="17">
        <f>IFERROR(__xludf.DUMMYFUNCTION("""COMPUTED_VALUE"""),0.0453)</f>
        <v>0.0453</v>
      </c>
      <c r="L37" s="17">
        <f>IFERROR(__xludf.DUMMYFUNCTION("""COMPUTED_VALUE"""),0.9533789954337899)</f>
        <v>0.9533789954</v>
      </c>
      <c r="M37" s="18">
        <f>IFERROR(__xludf.DUMMYFUNCTION("""COMPUTED_VALUE"""),35.0)</f>
        <v>35</v>
      </c>
      <c r="N37" s="7">
        <f>IFERROR(__xludf.DUMMYFUNCTION("""COMPUTED_VALUE"""),2883.0)</f>
        <v>2883</v>
      </c>
      <c r="O37" s="9">
        <f>IFERROR(__xludf.DUMMYFUNCTION("""COMPUTED_VALUE"""),1.49)</f>
        <v>1.49</v>
      </c>
      <c r="P37" s="7">
        <f>IFERROR(__xludf.DUMMYFUNCTION("""COMPUTED_VALUE"""),41758.0)</f>
        <v>41758</v>
      </c>
      <c r="Q37" s="8">
        <f>IFERROR(__xludf.DUMMYFUNCTION("""COMPUTED_VALUE"""),96690.0)</f>
        <v>96690</v>
      </c>
      <c r="R37" s="8">
        <f>IFERROR(__xludf.DUMMYFUNCTION("""COMPUTED_VALUE"""),2.3154844580679153)</f>
        <v>2.315484458</v>
      </c>
      <c r="S37" s="8">
        <f>IFERROR(__xludf.DUMMYFUNCTION("""COMPUTED_VALUE"""),13.528154365630538)</f>
        <v>13.52815437</v>
      </c>
      <c r="T37" s="19">
        <f>IFERROR(__xludf.DUMMYFUNCTION("""COMPUTED_VALUE"""),11.979103405335506)</f>
        <v>11.97910341</v>
      </c>
      <c r="U37" s="19">
        <f>IFERROR(__xludf.DUMMYFUNCTION("""COMPUTED_VALUE"""),1.5490509602950322)</f>
        <v>1.54905096</v>
      </c>
      <c r="V37" s="19">
        <f>IFERROR(__xludf.DUMMYFUNCTION("""COMPUTED_VALUE"""),5.842472541110767)</f>
        <v>5.842472541</v>
      </c>
      <c r="W37" s="19">
        <f>IFERROR(__xludf.DUMMYFUNCTION("""COMPUTED_VALUE"""),5.173476057503361)</f>
        <v>5.173476058</v>
      </c>
      <c r="X37" s="19">
        <f>IFERROR(__xludf.DUMMYFUNCTION("""COMPUTED_VALUE"""),0.6689964836074056)</f>
        <v>0.6689964836</v>
      </c>
      <c r="Y37" s="19">
        <f>IFERROR(__xludf.DUMMYFUNCTION("""COMPUTED_VALUE"""),0.6689964836074053)</f>
        <v>0.6689964836</v>
      </c>
      <c r="Z37" s="11">
        <f>IFERROR(__xludf.DUMMYFUNCTION("""COMPUTED_VALUE"""),370.3916521099568)</f>
        <v>370.3916521</v>
      </c>
      <c r="AA37" s="20" t="str">
        <f>IFERROR(__xludf.DUMMYFUNCTION("""COMPUTED_VALUE"""),"JUST AVERAGE")</f>
        <v>JUST AVERAGE</v>
      </c>
      <c r="AB37" s="10"/>
      <c r="AC37" s="10"/>
      <c r="AD37" s="10"/>
      <c r="AE37" s="10"/>
      <c r="AF37" s="10"/>
    </row>
    <row r="38">
      <c r="A38" s="13" t="s">
        <v>17</v>
      </c>
      <c r="B38" s="14">
        <v>2023.0</v>
      </c>
      <c r="C38" s="15">
        <v>44986.0</v>
      </c>
      <c r="D38" s="8">
        <f>IFERROR(__xludf.DUMMYFUNCTION("""COMPUTED_VALUE"""),567674.57)</f>
        <v>567674.57</v>
      </c>
      <c r="E38" s="8">
        <f>IFERROR(__xludf.DUMMYFUNCTION("""COMPUTED_VALUE"""),513127.50000000006)</f>
        <v>513127.5</v>
      </c>
      <c r="F38" s="8">
        <f t="shared" si="1"/>
        <v>54547.07</v>
      </c>
      <c r="G38" s="7" t="str">
        <f>IFERROR(__xludf.DUMMYFUNCTION("""COMPUTED_VALUE"""),"Chop Cheong Bee Sdn Bhd")</f>
        <v>Chop Cheong Bee Sdn Bhd</v>
      </c>
      <c r="H38" s="7">
        <f>IFERROR(__xludf.DUMMYFUNCTION("""COMPUTED_VALUE"""),43800.0)</f>
        <v>43800</v>
      </c>
      <c r="I38" s="16">
        <f>IFERROR(__xludf.DUMMYFUNCTION("""COMPUTED_VALUE"""),1.98)</f>
        <v>1.98</v>
      </c>
      <c r="J38" s="16">
        <f>IFERROR(__xludf.DUMMYFUNCTION("""COMPUTED_VALUE"""),1873.0)</f>
        <v>1873</v>
      </c>
      <c r="K38" s="17">
        <f>IFERROR(__xludf.DUMMYFUNCTION("""COMPUTED_VALUE"""),0.04276255707762557)</f>
        <v>0.04276255708</v>
      </c>
      <c r="L38" s="17">
        <f>IFERROR(__xludf.DUMMYFUNCTION("""COMPUTED_VALUE"""),0.9572374429223744)</f>
        <v>0.9572374429</v>
      </c>
      <c r="M38" s="18">
        <f>IFERROR(__xludf.DUMMYFUNCTION("""COMPUTED_VALUE"""),35.0)</f>
        <v>35</v>
      </c>
      <c r="N38" s="7">
        <f>IFERROR(__xludf.DUMMYFUNCTION("""COMPUTED_VALUE"""),2888.0)</f>
        <v>2888</v>
      </c>
      <c r="O38" s="9">
        <f>IFERROR(__xludf.DUMMYFUNCTION("""COMPUTED_VALUE"""),1.5)</f>
        <v>1.5</v>
      </c>
      <c r="P38" s="7">
        <f>IFERROR(__xludf.DUMMYFUNCTION("""COMPUTED_VALUE"""),41927.0)</f>
        <v>41927</v>
      </c>
      <c r="Q38" s="8">
        <f>IFERROR(__xludf.DUMMYFUNCTION("""COMPUTED_VALUE"""),96576.84)</f>
        <v>96576.84</v>
      </c>
      <c r="R38" s="8">
        <f>IFERROR(__xludf.DUMMYFUNCTION("""COMPUTED_VALUE"""),2.3034521907124286)</f>
        <v>2.303452191</v>
      </c>
      <c r="S38" s="8">
        <f>IFERROR(__xludf.DUMMYFUNCTION("""COMPUTED_VALUE"""),13.539594294845802)</f>
        <v>13.53959429</v>
      </c>
      <c r="T38" s="19">
        <f>IFERROR(__xludf.DUMMYFUNCTION("""COMPUTED_VALUE"""),12.238593269253704)</f>
        <v>12.23859327</v>
      </c>
      <c r="U38" s="19">
        <f>IFERROR(__xludf.DUMMYFUNCTION("""COMPUTED_VALUE"""),1.3010010255920985)</f>
        <v>1.301001026</v>
      </c>
      <c r="V38" s="19">
        <f>IFERROR(__xludf.DUMMYFUNCTION("""COMPUTED_VALUE"""),5.87795759314552)</f>
        <v>5.877957593</v>
      </c>
      <c r="W38" s="19">
        <f>IFERROR(__xludf.DUMMYFUNCTION("""COMPUTED_VALUE"""),5.3131527186021)</f>
        <v>5.313152719</v>
      </c>
      <c r="X38" s="19">
        <f>IFERROR(__xludf.DUMMYFUNCTION("""COMPUTED_VALUE"""),0.5648048745434195)</f>
        <v>0.5648048745</v>
      </c>
      <c r="Y38" s="19">
        <f>IFERROR(__xludf.DUMMYFUNCTION("""COMPUTED_VALUE"""),0.5648048745434194)</f>
        <v>0.5648048745</v>
      </c>
      <c r="Z38" s="11">
        <f>IFERROR(__xludf.DUMMYFUNCTION("""COMPUTED_VALUE"""),367.4917808219178)</f>
        <v>367.4917808</v>
      </c>
      <c r="AA38" s="20" t="str">
        <f>IFERROR(__xludf.DUMMYFUNCTION("""COMPUTED_VALUE"""),"VERY BAD")</f>
        <v>VERY BAD</v>
      </c>
      <c r="AB38" s="10"/>
      <c r="AC38" s="10"/>
      <c r="AD38" s="10"/>
      <c r="AE38" s="10"/>
      <c r="AF38" s="10"/>
    </row>
    <row r="39">
      <c r="A39" s="13" t="s">
        <v>17</v>
      </c>
      <c r="B39" s="14">
        <v>2023.0</v>
      </c>
      <c r="C39" s="15">
        <v>45017.0</v>
      </c>
      <c r="D39" s="8">
        <f>IFERROR(__xludf.DUMMYFUNCTION("""COMPUTED_VALUE"""),526308.76)</f>
        <v>526308.76</v>
      </c>
      <c r="E39" s="8">
        <f>IFERROR(__xludf.DUMMYFUNCTION("""COMPUTED_VALUE"""),489085.26)</f>
        <v>489085.26</v>
      </c>
      <c r="F39" s="8">
        <f t="shared" si="1"/>
        <v>37223.5</v>
      </c>
      <c r="G39" s="7" t="str">
        <f>IFERROR(__xludf.DUMMYFUNCTION("""COMPUTED_VALUE"""),"Chop Cheong Bee Sdn Bhd")</f>
        <v>Chop Cheong Bee Sdn Bhd</v>
      </c>
      <c r="H39" s="7">
        <f>IFERROR(__xludf.DUMMYFUNCTION("""COMPUTED_VALUE"""),43800.0)</f>
        <v>43800</v>
      </c>
      <c r="I39" s="16">
        <f>IFERROR(__xludf.DUMMYFUNCTION("""COMPUTED_VALUE"""),1.98)</f>
        <v>1.98</v>
      </c>
      <c r="J39" s="16">
        <f>IFERROR(__xludf.DUMMYFUNCTION("""COMPUTED_VALUE"""),2074.0)</f>
        <v>2074</v>
      </c>
      <c r="K39" s="17">
        <f>IFERROR(__xludf.DUMMYFUNCTION("""COMPUTED_VALUE"""),0.04735159817351598)</f>
        <v>0.04735159817</v>
      </c>
      <c r="L39" s="17">
        <f>IFERROR(__xludf.DUMMYFUNCTION("""COMPUTED_VALUE"""),0.952648401826484)</f>
        <v>0.9526484018</v>
      </c>
      <c r="M39" s="18">
        <f>IFERROR(__xludf.DUMMYFUNCTION("""COMPUTED_VALUE"""),35.0)</f>
        <v>35</v>
      </c>
      <c r="N39" s="7">
        <f>IFERROR(__xludf.DUMMYFUNCTION("""COMPUTED_VALUE"""),2763.0)</f>
        <v>2763</v>
      </c>
      <c r="O39" s="9">
        <f>IFERROR(__xludf.DUMMYFUNCTION("""COMPUTED_VALUE"""),1.54)</f>
        <v>1.54</v>
      </c>
      <c r="P39" s="7">
        <f>IFERROR(__xludf.DUMMYFUNCTION("""COMPUTED_VALUE"""),41726.0)</f>
        <v>41726</v>
      </c>
      <c r="Q39" s="8">
        <f>IFERROR(__xludf.DUMMYFUNCTION("""COMPUTED_VALUE"""),89967.3)</f>
        <v>89967.3</v>
      </c>
      <c r="R39" s="8">
        <f>IFERROR(__xludf.DUMMYFUNCTION("""COMPUTED_VALUE"""),2.156144849733979)</f>
        <v>2.15614485</v>
      </c>
      <c r="S39" s="8">
        <f>IFERROR(__xludf.DUMMYFUNCTION("""COMPUTED_VALUE"""),12.61344868906677)</f>
        <v>12.61344869</v>
      </c>
      <c r="T39" s="19">
        <f>IFERROR(__xludf.DUMMYFUNCTION("""COMPUTED_VALUE"""),11.721355030436658)</f>
        <v>11.72135503</v>
      </c>
      <c r="U39" s="19">
        <f>IFERROR(__xludf.DUMMYFUNCTION("""COMPUTED_VALUE"""),0.8920936586301114)</f>
        <v>0.8920936586</v>
      </c>
      <c r="V39" s="19">
        <f>IFERROR(__xludf.DUMMYFUNCTION("""COMPUTED_VALUE"""),5.850000611333229)</f>
        <v>5.850000611</v>
      </c>
      <c r="W39" s="19">
        <f>IFERROR(__xludf.DUMMYFUNCTION("""COMPUTED_VALUE"""),5.4362558396217295)</f>
        <v>5.43625584</v>
      </c>
      <c r="X39" s="19">
        <f>IFERROR(__xludf.DUMMYFUNCTION("""COMPUTED_VALUE"""),0.4137447717114995)</f>
        <v>0.4137447717</v>
      </c>
      <c r="Y39" s="19">
        <f>IFERROR(__xludf.DUMMYFUNCTION("""COMPUTED_VALUE"""),0.4137447717114996)</f>
        <v>0.4137447717</v>
      </c>
      <c r="Z39" s="11">
        <f>IFERROR(__xludf.DUMMYFUNCTION("""COMPUTED_VALUE"""),333.4493417541363)</f>
        <v>333.4493418</v>
      </c>
      <c r="AA39" s="20" t="str">
        <f>IFERROR(__xludf.DUMMYFUNCTION("""COMPUTED_VALUE"""),"VERY BAD")</f>
        <v>VERY BAD</v>
      </c>
      <c r="AB39" s="10"/>
      <c r="AC39" s="10"/>
      <c r="AD39" s="10"/>
      <c r="AE39" s="10"/>
      <c r="AF39" s="10"/>
    </row>
    <row r="40">
      <c r="A40" s="13" t="s">
        <v>17</v>
      </c>
      <c r="B40" s="14">
        <v>2023.0</v>
      </c>
      <c r="C40" s="15">
        <v>45047.0</v>
      </c>
      <c r="D40" s="8">
        <f>IFERROR(__xludf.DUMMYFUNCTION("""COMPUTED_VALUE"""),579811.31)</f>
        <v>579811.31</v>
      </c>
      <c r="E40" s="8">
        <f>IFERROR(__xludf.DUMMYFUNCTION("""COMPUTED_VALUE"""),497169.4)</f>
        <v>497169.4</v>
      </c>
      <c r="F40" s="8">
        <f t="shared" si="1"/>
        <v>82641.91</v>
      </c>
      <c r="G40" s="7" t="str">
        <f>IFERROR(__xludf.DUMMYFUNCTION("""COMPUTED_VALUE"""),"Chop Cheong Bee Sdn Bhd")</f>
        <v>Chop Cheong Bee Sdn Bhd</v>
      </c>
      <c r="H40" s="7">
        <f>IFERROR(__xludf.DUMMYFUNCTION("""COMPUTED_VALUE"""),43800.0)</f>
        <v>43800</v>
      </c>
      <c r="I40" s="16">
        <f>IFERROR(__xludf.DUMMYFUNCTION("""COMPUTED_VALUE"""),2.02)</f>
        <v>2.02</v>
      </c>
      <c r="J40" s="16">
        <f>IFERROR(__xludf.DUMMYFUNCTION("""COMPUTED_VALUE"""),1200.0)</f>
        <v>1200</v>
      </c>
      <c r="K40" s="17">
        <f>IFERROR(__xludf.DUMMYFUNCTION("""COMPUTED_VALUE"""),0.0273972602739726)</f>
        <v>0.02739726027</v>
      </c>
      <c r="L40" s="17">
        <f>IFERROR(__xludf.DUMMYFUNCTION("""COMPUTED_VALUE"""),0.9726027397260274)</f>
        <v>0.9726027397</v>
      </c>
      <c r="M40" s="18">
        <f>IFERROR(__xludf.DUMMYFUNCTION("""COMPUTED_VALUE"""),35.0)</f>
        <v>35</v>
      </c>
      <c r="N40" s="7">
        <f>IFERROR(__xludf.DUMMYFUNCTION("""COMPUTED_VALUE"""),2870.3940000000002)</f>
        <v>2870.394</v>
      </c>
      <c r="O40" s="9">
        <f>IFERROR(__xludf.DUMMYFUNCTION("""COMPUTED_VALUE"""),1.5)</f>
        <v>1.5</v>
      </c>
      <c r="P40" s="7">
        <f>IFERROR(__xludf.DUMMYFUNCTION("""COMPUTED_VALUE"""),42600.0)</f>
        <v>42600</v>
      </c>
      <c r="Q40" s="8">
        <f>IFERROR(__xludf.DUMMYFUNCTION("""COMPUTED_VALUE"""),95679.8)</f>
        <v>95679.8</v>
      </c>
      <c r="R40" s="8">
        <f>IFERROR(__xludf.DUMMYFUNCTION("""COMPUTED_VALUE"""),2.2460046948356807)</f>
        <v>2.246004695</v>
      </c>
      <c r="S40" s="8">
        <f>IFERROR(__xludf.DUMMYFUNCTION("""COMPUTED_VALUE"""),13.6105941314554)</f>
        <v>13.61059413</v>
      </c>
      <c r="T40" s="19">
        <f>IFERROR(__xludf.DUMMYFUNCTION("""COMPUTED_VALUE"""),11.670643192488264)</f>
        <v>11.67064319</v>
      </c>
      <c r="U40" s="19">
        <f>IFERROR(__xludf.DUMMYFUNCTION("""COMPUTED_VALUE"""),1.9399509389671366)</f>
        <v>1.939950939</v>
      </c>
      <c r="V40" s="19">
        <f>IFERROR(__xludf.DUMMYFUNCTION("""COMPUTED_VALUE"""),6.059913482260624)</f>
        <v>6.059913482</v>
      </c>
      <c r="W40" s="19">
        <f>IFERROR(__xludf.DUMMYFUNCTION("""COMPUTED_VALUE"""),5.196179339839757)</f>
        <v>5.19617934</v>
      </c>
      <c r="X40" s="19">
        <f>IFERROR(__xludf.DUMMYFUNCTION("""COMPUTED_VALUE"""),0.8637341424208671)</f>
        <v>0.8637341424</v>
      </c>
      <c r="Y40" s="19">
        <f>IFERROR(__xludf.DUMMYFUNCTION("""COMPUTED_VALUE"""),0.8637341424208665)</f>
        <v>0.8637341424</v>
      </c>
      <c r="Z40" s="11">
        <f>IFERROR(__xludf.DUMMYFUNCTION("""COMPUTED_VALUE"""),364.07838660578386)</f>
        <v>364.0783866</v>
      </c>
      <c r="AA40" s="20" t="str">
        <f>IFERROR(__xludf.DUMMYFUNCTION("""COMPUTED_VALUE"""),"JUST AVERAGE")</f>
        <v>JUST AVERAGE</v>
      </c>
      <c r="AB40" s="10"/>
      <c r="AC40" s="10"/>
      <c r="AD40" s="10"/>
      <c r="AE40" s="10"/>
      <c r="AF40" s="10"/>
    </row>
    <row r="41">
      <c r="A41" s="13" t="s">
        <v>17</v>
      </c>
      <c r="B41" s="14">
        <v>2023.0</v>
      </c>
      <c r="C41" s="15">
        <v>45078.0</v>
      </c>
      <c r="D41" s="8">
        <f>IFERROR(__xludf.DUMMYFUNCTION("""COMPUTED_VALUE"""),615363.97)</f>
        <v>615363.97</v>
      </c>
      <c r="E41" s="8">
        <f>IFERROR(__xludf.DUMMYFUNCTION("""COMPUTED_VALUE"""),504693.05000000005)</f>
        <v>504693.05</v>
      </c>
      <c r="F41" s="8">
        <f t="shared" si="1"/>
        <v>110670.92</v>
      </c>
      <c r="G41" s="7" t="str">
        <f>IFERROR(__xludf.DUMMYFUNCTION("""COMPUTED_VALUE"""),"Chop Cheong Bee Sdn Bhd")</f>
        <v>Chop Cheong Bee Sdn Bhd</v>
      </c>
      <c r="H41" s="7">
        <f>IFERROR(__xludf.DUMMYFUNCTION("""COMPUTED_VALUE"""),43800.0)</f>
        <v>43800</v>
      </c>
      <c r="I41" s="16">
        <f>IFERROR(__xludf.DUMMYFUNCTION("""COMPUTED_VALUE"""),2.03)</f>
        <v>2.03</v>
      </c>
      <c r="J41" s="16">
        <f>IFERROR(__xludf.DUMMYFUNCTION("""COMPUTED_VALUE"""),2031.0)</f>
        <v>2031</v>
      </c>
      <c r="K41" s="17">
        <f>IFERROR(__xludf.DUMMYFUNCTION("""COMPUTED_VALUE"""),0.04636986301369863)</f>
        <v>0.04636986301</v>
      </c>
      <c r="L41" s="17">
        <f>IFERROR(__xludf.DUMMYFUNCTION("""COMPUTED_VALUE"""),0.9536301369863014)</f>
        <v>0.953630137</v>
      </c>
      <c r="M41" s="18">
        <f>IFERROR(__xludf.DUMMYFUNCTION("""COMPUTED_VALUE"""),35.0)</f>
        <v>35</v>
      </c>
      <c r="N41" s="7">
        <f>IFERROR(__xludf.DUMMYFUNCTION("""COMPUTED_VALUE"""),2825.0)</f>
        <v>2825</v>
      </c>
      <c r="O41" s="9">
        <f>IFERROR(__xludf.DUMMYFUNCTION("""COMPUTED_VALUE"""),1.42)</f>
        <v>1.42</v>
      </c>
      <c r="P41" s="7">
        <f>IFERROR(__xludf.DUMMYFUNCTION("""COMPUTED_VALUE"""),41769.0)</f>
        <v>41769</v>
      </c>
      <c r="Q41" s="8">
        <f>IFERROR(__xludf.DUMMYFUNCTION("""COMPUTED_VALUE"""),99293.2)</f>
        <v>99293.2</v>
      </c>
      <c r="R41" s="8">
        <f>IFERROR(__xludf.DUMMYFUNCTION("""COMPUTED_VALUE"""),2.3771984007278126)</f>
        <v>2.377198401</v>
      </c>
      <c r="S41" s="8">
        <f>IFERROR(__xludf.DUMMYFUNCTION("""COMPUTED_VALUE"""),14.732552131963896)</f>
        <v>14.73255213</v>
      </c>
      <c r="T41" s="19">
        <f>IFERROR(__xludf.DUMMYFUNCTION("""COMPUTED_VALUE"""),12.08295745648687)</f>
        <v>12.08295746</v>
      </c>
      <c r="U41" s="19">
        <f>IFERROR(__xludf.DUMMYFUNCTION("""COMPUTED_VALUE"""),2.649594675477026)</f>
        <v>2.649594675</v>
      </c>
      <c r="V41" s="19">
        <f>IFERROR(__xludf.DUMMYFUNCTION("""COMPUTED_VALUE"""),6.197443228740739)</f>
        <v>6.197443229</v>
      </c>
      <c r="W41" s="19">
        <f>IFERROR(__xludf.DUMMYFUNCTION("""COMPUTED_VALUE"""),5.082856127106389)</f>
        <v>5.082856127</v>
      </c>
      <c r="X41" s="19">
        <f>IFERROR(__xludf.DUMMYFUNCTION("""COMPUTED_VALUE"""),1.11458710163435)</f>
        <v>1.114587102</v>
      </c>
      <c r="Y41" s="19">
        <f>IFERROR(__xludf.DUMMYFUNCTION("""COMPUTED_VALUE"""),1.114587101634351)</f>
        <v>1.114587102</v>
      </c>
      <c r="Z41" s="11">
        <f>IFERROR(__xludf.DUMMYFUNCTION("""COMPUTED_VALUE"""),399.11409093832407)</f>
        <v>399.1140909</v>
      </c>
      <c r="AA41" s="20" t="str">
        <f>IFERROR(__xludf.DUMMYFUNCTION("""COMPUTED_VALUE"""),"VERY GOOD")</f>
        <v>VERY GOOD</v>
      </c>
      <c r="AB41" s="10"/>
      <c r="AC41" s="10"/>
      <c r="AD41" s="10"/>
      <c r="AE41" s="10"/>
      <c r="AF41" s="10"/>
    </row>
    <row r="42">
      <c r="A42" s="13" t="s">
        <v>17</v>
      </c>
      <c r="B42" s="14">
        <v>2024.0</v>
      </c>
      <c r="C42" s="15">
        <v>45292.0</v>
      </c>
      <c r="D42" s="8">
        <f>IFERROR(__xludf.DUMMYFUNCTION("TRANSPOSE(IMPORTRANGE(""1OP-qxVLNURBqstk-WZQd8qB2vYxDQLc8s35zWl_CMzo"", ""2024!C12:H12""))"),497542.19)</f>
        <v>497542.19</v>
      </c>
      <c r="E42" s="8">
        <f>IFERROR(__xludf.DUMMYFUNCTION("TRANSPOSE(IMPORTRANGE(""1OP-qxVLNURBqstk-WZQd8qB2vYxDQLc8s35zWl_CMzo"", ""2024!C39:H39""))"),493648.99)</f>
        <v>493648.99</v>
      </c>
      <c r="F42" s="8">
        <f t="shared" si="1"/>
        <v>3893.2</v>
      </c>
      <c r="G42" s="7" t="str">
        <f>IFERROR(__xludf.DUMMYFUNCTION("TRANSPOSE(IMPORTRANGE(""1OP-qxVLNURBqstk-WZQd8qB2vYxDQLc8s35zWl_CMzo"", ""2024!C47:H67""))"),"Chop Cheong Bee Sdn Bhd")</f>
        <v>Chop Cheong Bee Sdn Bhd</v>
      </c>
      <c r="H42" s="7">
        <f>IFERROR(__xludf.DUMMYFUNCTION("""COMPUTED_VALUE"""),42500.0)</f>
        <v>42500</v>
      </c>
      <c r="I42" s="16">
        <f>IFERROR(__xludf.DUMMYFUNCTION("""COMPUTED_VALUE"""),2.13)</f>
        <v>2.13</v>
      </c>
      <c r="J42" s="16">
        <f>IFERROR(__xludf.DUMMYFUNCTION("""COMPUTED_VALUE"""),1697.0)</f>
        <v>1697</v>
      </c>
      <c r="K42" s="17">
        <f>IFERROR(__xludf.DUMMYFUNCTION("""COMPUTED_VALUE"""),0.03992941176470588)</f>
        <v>0.03992941176</v>
      </c>
      <c r="L42" s="17">
        <f>IFERROR(__xludf.DUMMYFUNCTION("""COMPUTED_VALUE"""),0.9600705882352941)</f>
        <v>0.9600705882</v>
      </c>
      <c r="M42" s="18">
        <f>IFERROR(__xludf.DUMMYFUNCTION("""COMPUTED_VALUE"""),35.0)</f>
        <v>35</v>
      </c>
      <c r="N42" s="7">
        <f>IFERROR(__xludf.DUMMYFUNCTION("""COMPUTED_VALUE"""),2704.588092)</f>
        <v>2704.588092</v>
      </c>
      <c r="O42" s="9">
        <f>IFERROR(__xludf.DUMMYFUNCTION("""COMPUTED_VALUE"""),1.59)</f>
        <v>1.59</v>
      </c>
      <c r="P42" s="7">
        <f>IFERROR(__xludf.DUMMYFUNCTION("""COMPUTED_VALUE"""),40803.0)</f>
        <v>40803</v>
      </c>
      <c r="Q42" s="8">
        <f>IFERROR(__xludf.DUMMYFUNCTION("""COMPUTED_VALUE"""),85049.94)</f>
        <v>85049.94</v>
      </c>
      <c r="R42" s="8">
        <f>IFERROR(__xludf.DUMMYFUNCTION("""COMPUTED_VALUE"""),2.0844040879347108)</f>
        <v>2.084404088</v>
      </c>
      <c r="S42" s="8">
        <f>IFERROR(__xludf.DUMMYFUNCTION("""COMPUTED_VALUE"""),12.193764919246133)</f>
        <v>12.19376492</v>
      </c>
      <c r="T42" s="19">
        <f>IFERROR(__xludf.DUMMYFUNCTION("""COMPUTED_VALUE"""),12.098350366394628)</f>
        <v>12.09835037</v>
      </c>
      <c r="U42" s="19">
        <f>IFERROR(__xludf.DUMMYFUNCTION("""COMPUTED_VALUE"""),0.09541455285150491)</f>
        <v>0.09541455285</v>
      </c>
      <c r="V42" s="19">
        <f>IFERROR(__xludf.DUMMYFUNCTION("""COMPUTED_VALUE"""),5.850000482069711)</f>
        <v>5.850000482</v>
      </c>
      <c r="W42" s="19">
        <f>IFERROR(__xludf.DUMMYFUNCTION("""COMPUTED_VALUE"""),5.804225023556747)</f>
        <v>5.804225024</v>
      </c>
      <c r="X42" s="19">
        <f>IFERROR(__xludf.DUMMYFUNCTION("""COMPUTED_VALUE"""),0.045775458512963496)</f>
        <v>0.04577545851</v>
      </c>
      <c r="Y42" s="19">
        <f>IFERROR(__xludf.DUMMYFUNCTION("""COMPUTED_VALUE"""),0.0954145528515063)</f>
        <v>0.09541455285</v>
      </c>
      <c r="Z42" s="11">
        <f>IFERROR(__xludf.DUMMYFUNCTION("""COMPUTED_VALUE"""),359.6001902647851)</f>
        <v>359.6001903</v>
      </c>
      <c r="AA42" s="10" t="str">
        <f>IFERROR(__xludf.DUMMYFUNCTION("""COMPUTED_VALUE"""),"VERY BAD")</f>
        <v>VERY BAD</v>
      </c>
      <c r="AB42" s="10"/>
      <c r="AC42" s="10"/>
      <c r="AD42" s="10"/>
      <c r="AE42" s="10"/>
      <c r="AF42" s="10"/>
    </row>
    <row r="43">
      <c r="A43" s="13" t="s">
        <v>17</v>
      </c>
      <c r="B43" s="14">
        <v>2024.0</v>
      </c>
      <c r="C43" s="15">
        <v>45323.0</v>
      </c>
      <c r="D43" s="8">
        <f>IFERROR(__xludf.DUMMYFUNCTION("""COMPUTED_VALUE"""),551885.77)</f>
        <v>551885.77</v>
      </c>
      <c r="E43" s="8">
        <f>IFERROR(__xludf.DUMMYFUNCTION("""COMPUTED_VALUE"""),480913.95)</f>
        <v>480913.95</v>
      </c>
      <c r="F43" s="8">
        <f t="shared" si="1"/>
        <v>70971.82</v>
      </c>
      <c r="G43" s="7" t="str">
        <f>IFERROR(__xludf.DUMMYFUNCTION("""COMPUTED_VALUE"""),"Chop Cheong Bee Sdn Bhd")</f>
        <v>Chop Cheong Bee Sdn Bhd</v>
      </c>
      <c r="H43" s="7">
        <f>IFERROR(__xludf.DUMMYFUNCTION("""COMPUTED_VALUE"""),43800.0)</f>
        <v>43800</v>
      </c>
      <c r="I43" s="16">
        <f>IFERROR(__xludf.DUMMYFUNCTION("""COMPUTED_VALUE"""),2.13)</f>
        <v>2.13</v>
      </c>
      <c r="J43" s="16">
        <f>IFERROR(__xludf.DUMMYFUNCTION("""COMPUTED_VALUE"""),1093.0)</f>
        <v>1093</v>
      </c>
      <c r="K43" s="17">
        <f>IFERROR(__xludf.DUMMYFUNCTION("""COMPUTED_VALUE"""),0.024954337899543377)</f>
        <v>0.0249543379</v>
      </c>
      <c r="L43" s="17">
        <f>IFERROR(__xludf.DUMMYFUNCTION("""COMPUTED_VALUE"""),0.9750456621004566)</f>
        <v>0.9750456621</v>
      </c>
      <c r="M43" s="18">
        <f>IFERROR(__xludf.DUMMYFUNCTION("""COMPUTED_VALUE"""),35.0)</f>
        <v>35</v>
      </c>
      <c r="N43" s="7">
        <f>IFERROR(__xludf.DUMMYFUNCTION("""COMPUTED_VALUE"""),2660.3722080000002)</f>
        <v>2660.372208</v>
      </c>
      <c r="O43" s="9">
        <f>IFERROR(__xludf.DUMMYFUNCTION("""COMPUTED_VALUE"""),1.41)</f>
        <v>1.41</v>
      </c>
      <c r="P43" s="7">
        <f>IFERROR(__xludf.DUMMYFUNCTION("""COMPUTED_VALUE"""),42707.0)</f>
        <v>42707</v>
      </c>
      <c r="Q43" s="8">
        <f>IFERROR(__xludf.DUMMYFUNCTION("""COMPUTED_VALUE"""),94339.44)</f>
        <v>94339.44</v>
      </c>
      <c r="R43" s="8">
        <f>IFERROR(__xludf.DUMMYFUNCTION("""COMPUTED_VALUE"""),2.2089924368370526)</f>
        <v>2.208992437</v>
      </c>
      <c r="S43" s="8">
        <f>IFERROR(__xludf.DUMMYFUNCTION("""COMPUTED_VALUE"""),12.922606832603554)</f>
        <v>12.92260683</v>
      </c>
      <c r="T43" s="19">
        <f>IFERROR(__xludf.DUMMYFUNCTION("""COMPUTED_VALUE"""),11.260775751047838)</f>
        <v>11.26077575</v>
      </c>
      <c r="U43" s="19">
        <f>IFERROR(__xludf.DUMMYFUNCTION("""COMPUTED_VALUE"""),1.6618310815557162)</f>
        <v>1.661831082</v>
      </c>
      <c r="V43" s="19">
        <f>IFERROR(__xludf.DUMMYFUNCTION("""COMPUTED_VALUE"""),5.850000487600944)</f>
        <v>5.850000488</v>
      </c>
      <c r="W43" s="19">
        <f>IFERROR(__xludf.DUMMYFUNCTION("""COMPUTED_VALUE"""),5.097697739142823)</f>
        <v>5.097697739</v>
      </c>
      <c r="X43" s="19">
        <f>IFERROR(__xludf.DUMMYFUNCTION("""COMPUTED_VALUE"""),0.7523027484581215)</f>
        <v>0.7523027485</v>
      </c>
      <c r="Y43" s="19">
        <f>IFERROR(__xludf.DUMMYFUNCTION("""COMPUTED_VALUE"""),1.6618310815557171)</f>
        <v>1.661831082</v>
      </c>
      <c r="Z43" s="11">
        <f>IFERROR(__xludf.DUMMYFUNCTION("""COMPUTED_VALUE"""),436.4475163425907)</f>
        <v>436.4475163</v>
      </c>
      <c r="AA43" s="10" t="str">
        <f>IFERROR(__xludf.DUMMYFUNCTION("""COMPUTED_VALUE"""),"VERY GOOD")</f>
        <v>VERY GOOD</v>
      </c>
      <c r="AB43" s="10"/>
      <c r="AC43" s="10"/>
      <c r="AD43" s="10"/>
      <c r="AE43" s="10"/>
      <c r="AF43" s="10"/>
    </row>
    <row r="44">
      <c r="A44" s="13" t="s">
        <v>17</v>
      </c>
      <c r="B44" s="14">
        <v>2024.0</v>
      </c>
      <c r="C44" s="15">
        <v>45352.0</v>
      </c>
      <c r="D44" s="8">
        <f>IFERROR(__xludf.DUMMYFUNCTION("""COMPUTED_VALUE"""),533545.56)</f>
        <v>533545.56</v>
      </c>
      <c r="E44" s="8">
        <f>IFERROR(__xludf.DUMMYFUNCTION("""COMPUTED_VALUE"""),489266.75)</f>
        <v>489266.75</v>
      </c>
      <c r="F44" s="8">
        <f t="shared" si="1"/>
        <v>44278.81</v>
      </c>
      <c r="G44" s="7" t="str">
        <f>IFERROR(__xludf.DUMMYFUNCTION("""COMPUTED_VALUE"""),"Chop Cheong Bee Sdn Bhd")</f>
        <v>Chop Cheong Bee Sdn Bhd</v>
      </c>
      <c r="H44" s="7">
        <f>IFERROR(__xludf.DUMMYFUNCTION("""COMPUTED_VALUE"""),41800.0)</f>
        <v>41800</v>
      </c>
      <c r="I44" s="16">
        <f>IFERROR(__xludf.DUMMYFUNCTION("""COMPUTED_VALUE"""),2.13)</f>
        <v>2.13</v>
      </c>
      <c r="J44" s="16">
        <f>IFERROR(__xludf.DUMMYFUNCTION("""COMPUTED_VALUE"""),1421.0)</f>
        <v>1421</v>
      </c>
      <c r="K44" s="17">
        <f>IFERROR(__xludf.DUMMYFUNCTION("""COMPUTED_VALUE"""),0.0339)</f>
        <v>0.0339</v>
      </c>
      <c r="L44" s="17">
        <f>IFERROR(__xludf.DUMMYFUNCTION("""COMPUTED_VALUE"""),0.9660047846889952)</f>
        <v>0.9660047847</v>
      </c>
      <c r="M44" s="18">
        <f>IFERROR(__xludf.DUMMYFUNCTION("""COMPUTED_VALUE"""),35.0)</f>
        <v>35</v>
      </c>
      <c r="N44" s="7">
        <f>IFERROR(__xludf.DUMMYFUNCTION("""COMPUTED_VALUE"""),2809.094288)</f>
        <v>2809.094288</v>
      </c>
      <c r="O44" s="9">
        <f>IFERROR(__xludf.DUMMYFUNCTION("""COMPUTED_VALUE"""),1.54)</f>
        <v>1.54</v>
      </c>
      <c r="P44" s="7">
        <f>IFERROR(__xludf.DUMMYFUNCTION("""COMPUTED_VALUE"""),40379.0)</f>
        <v>40379</v>
      </c>
      <c r="Q44" s="8">
        <f>IFERROR(__xludf.DUMMYFUNCTION("""COMPUTED_VALUE"""),91204.36)</f>
        <v>91204.36</v>
      </c>
      <c r="R44" s="8">
        <f>IFERROR(__xludf.DUMMYFUNCTION("""COMPUTED_VALUE"""),2.26)</f>
        <v>2.26</v>
      </c>
      <c r="S44" s="8">
        <f>IFERROR(__xludf.DUMMYFUNCTION("""COMPUTED_VALUE"""),13.213441640456674)</f>
        <v>13.21344164</v>
      </c>
      <c r="T44" s="19">
        <f>IFERROR(__xludf.DUMMYFUNCTION("""COMPUTED_VALUE"""),12.11686148740682)</f>
        <v>12.11686149</v>
      </c>
      <c r="U44" s="19">
        <f>IFERROR(__xludf.DUMMYFUNCTION("""COMPUTED_VALUE"""),1.0965801530498531)</f>
        <v>1.096580153</v>
      </c>
      <c r="V44" s="19">
        <f>IFERROR(__xludf.DUMMYFUNCTION("""COMPUTED_VALUE"""),5.850000592076959)</f>
        <v>5.850000592</v>
      </c>
      <c r="W44" s="19">
        <f>IFERROR(__xludf.DUMMYFUNCTION("""COMPUTED_VALUE"""),5.364510534364804)</f>
        <v>5.364510534</v>
      </c>
      <c r="X44" s="19">
        <f>IFERROR(__xludf.DUMMYFUNCTION("""COMPUTED_VALUE"""),0.4854900577121546)</f>
        <v>0.4854900577</v>
      </c>
      <c r="Y44" s="19">
        <f>IFERROR(__xludf.DUMMYFUNCTION("""COMPUTED_VALUE"""),1.096580153049854)</f>
        <v>1.096580153</v>
      </c>
      <c r="Z44" s="11">
        <f>IFERROR(__xludf.DUMMYFUNCTION("""COMPUTED_VALUE"""),405.0409672350889)</f>
        <v>405.0409672</v>
      </c>
      <c r="AA44" s="10" t="str">
        <f>IFERROR(__xludf.DUMMYFUNCTION("""COMPUTED_VALUE"""),"VERY GOOD")</f>
        <v>VERY GOOD</v>
      </c>
      <c r="AB44" s="10"/>
      <c r="AC44" s="10"/>
      <c r="AD44" s="10"/>
      <c r="AE44" s="10"/>
      <c r="AF44" s="10"/>
    </row>
    <row r="45">
      <c r="A45" s="13" t="s">
        <v>17</v>
      </c>
      <c r="B45" s="14">
        <v>2024.0</v>
      </c>
      <c r="C45" s="15">
        <v>45383.0</v>
      </c>
      <c r="D45" s="8">
        <f>IFERROR(__xludf.DUMMYFUNCTION("""COMPUTED_VALUE"""),535835.1)</f>
        <v>535835.1</v>
      </c>
      <c r="E45" s="8">
        <f>IFERROR(__xludf.DUMMYFUNCTION("""COMPUTED_VALUE"""),518985.45000000007)</f>
        <v>518985.45</v>
      </c>
      <c r="F45" s="8">
        <f t="shared" si="1"/>
        <v>16849.65</v>
      </c>
      <c r="G45" s="7" t="str">
        <f>IFERROR(__xludf.DUMMYFUNCTION("""COMPUTED_VALUE"""),"Chop Cheong Bee Sdn Bhd")</f>
        <v>Chop Cheong Bee Sdn Bhd</v>
      </c>
      <c r="H45" s="7">
        <f>IFERROR(__xludf.DUMMYFUNCTION("""COMPUTED_VALUE"""),43800.0)</f>
        <v>43800</v>
      </c>
      <c r="I45" s="16">
        <f>IFERROR(__xludf.DUMMYFUNCTION("""COMPUTED_VALUE"""),2.13)</f>
        <v>2.13</v>
      </c>
      <c r="J45" s="16">
        <f>IFERROR(__xludf.DUMMYFUNCTION("""COMPUTED_VALUE"""),1583.0)</f>
        <v>1583</v>
      </c>
      <c r="K45" s="17">
        <f>IFERROR(__xludf.DUMMYFUNCTION("""COMPUTED_VALUE"""),0.03614155251141553)</f>
        <v>0.03614155251</v>
      </c>
      <c r="L45" s="17">
        <f>IFERROR(__xludf.DUMMYFUNCTION("""COMPUTED_VALUE"""),0.9638584474885845)</f>
        <v>0.9638584475</v>
      </c>
      <c r="M45" s="18">
        <f>IFERROR(__xludf.DUMMYFUNCTION("""COMPUTED_VALUE"""),35.0)</f>
        <v>35</v>
      </c>
      <c r="N45" s="7">
        <f>IFERROR(__xludf.DUMMYFUNCTION("""COMPUTED_VALUE"""),2985.8313919999996)</f>
        <v>2985.831392</v>
      </c>
      <c r="O45" s="9">
        <f>IFERROR(__xludf.DUMMYFUNCTION("""COMPUTED_VALUE"""),1.63)</f>
        <v>1.63</v>
      </c>
      <c r="P45" s="7">
        <f>IFERROR(__xludf.DUMMYFUNCTION("""COMPUTED_VALUE"""),42217.0)</f>
        <v>42217</v>
      </c>
      <c r="Q45" s="8">
        <f>IFERROR(__xludf.DUMMYFUNCTION("""COMPUTED_VALUE"""),91589.92)</f>
        <v>91589.92</v>
      </c>
      <c r="R45" s="8">
        <f>IFERROR(__xludf.DUMMYFUNCTION("""COMPUTED_VALUE"""),2.17)</f>
        <v>2.17</v>
      </c>
      <c r="S45" s="8">
        <f>IFERROR(__xludf.DUMMYFUNCTION("""COMPUTED_VALUE"""),12.6924011654073)</f>
        <v>12.69240117</v>
      </c>
      <c r="T45" s="19">
        <f>IFERROR(__xludf.DUMMYFUNCTION("""COMPUTED_VALUE"""),12.293281142667647)</f>
        <v>12.29328114</v>
      </c>
      <c r="U45" s="19">
        <f>IFERROR(__xludf.DUMMYFUNCTION("""COMPUTED_VALUE"""),0.39912002273965363)</f>
        <v>0.3991200227</v>
      </c>
      <c r="V45" s="19">
        <f>IFERROR(__xludf.DUMMYFUNCTION("""COMPUTED_VALUE"""),5.850371962329479)</f>
        <v>5.850371962</v>
      </c>
      <c r="W45" s="19">
        <f>IFERROR(__xludf.DUMMYFUNCTION("""COMPUTED_VALUE"""),5.6664035736683696)</f>
        <v>5.666403574</v>
      </c>
      <c r="X45" s="19">
        <f>IFERROR(__xludf.DUMMYFUNCTION("""COMPUTED_VALUE"""),0.18396838866110965)</f>
        <v>0.1839683887</v>
      </c>
      <c r="Y45" s="19">
        <f>IFERROR(__xludf.DUMMYFUNCTION("""COMPUTED_VALUE"""),0.3991200227396524)</f>
        <v>0.3991200227</v>
      </c>
      <c r="Z45" s="11">
        <f>IFERROR(__xludf.DUMMYFUNCTION("""COMPUTED_VALUE"""),366.62100456621005)</f>
        <v>366.6210046</v>
      </c>
      <c r="AA45" s="10" t="str">
        <f>IFERROR(__xludf.DUMMYFUNCTION("""COMPUTED_VALUE"""),"VERY BAD")</f>
        <v>VERY BAD</v>
      </c>
      <c r="AB45" s="10"/>
      <c r="AC45" s="10"/>
      <c r="AD45" s="10"/>
      <c r="AE45" s="10"/>
      <c r="AF45" s="10"/>
    </row>
    <row r="46">
      <c r="A46" s="13" t="s">
        <v>17</v>
      </c>
      <c r="B46" s="14">
        <v>2024.0</v>
      </c>
      <c r="C46" s="15">
        <v>45413.0</v>
      </c>
      <c r="D46" s="8">
        <f>IFERROR(__xludf.DUMMYFUNCTION("""COMPUTED_VALUE"""),524390.7)</f>
        <v>524390.7</v>
      </c>
      <c r="E46" s="8">
        <f>IFERROR(__xludf.DUMMYFUNCTION("""COMPUTED_VALUE"""),488908.75)</f>
        <v>488908.75</v>
      </c>
      <c r="F46" s="8">
        <f t="shared" si="1"/>
        <v>35481.95</v>
      </c>
      <c r="G46" s="7" t="str">
        <f>IFERROR(__xludf.DUMMYFUNCTION("""COMPUTED_VALUE"""),"Chop Cheong Bee Sdn Bhd")</f>
        <v>Chop Cheong Bee Sdn Bhd</v>
      </c>
      <c r="H46" s="7">
        <f>IFERROR(__xludf.DUMMYFUNCTION("""COMPUTED_VALUE"""),43800.0)</f>
        <v>43800</v>
      </c>
      <c r="I46" s="16">
        <f>IFERROR(__xludf.DUMMYFUNCTION("""COMPUTED_VALUE"""),2.13)</f>
        <v>2.13</v>
      </c>
      <c r="J46" s="16">
        <f>IFERROR(__xludf.DUMMYFUNCTION("""COMPUTED_VALUE"""),2358.0)</f>
        <v>2358</v>
      </c>
      <c r="K46" s="17">
        <f>IFERROR(__xludf.DUMMYFUNCTION("""COMPUTED_VALUE"""),0.054)</f>
        <v>0.054</v>
      </c>
      <c r="L46" s="17">
        <f>IFERROR(__xludf.DUMMYFUNCTION("""COMPUTED_VALUE"""),0.9461643835616438)</f>
        <v>0.9461643836</v>
      </c>
      <c r="M46" s="18">
        <f>IFERROR(__xludf.DUMMYFUNCTION("""COMPUTED_VALUE"""),35.0)</f>
        <v>35</v>
      </c>
      <c r="N46" s="7">
        <f>IFERROR(__xludf.DUMMYFUNCTION("""COMPUTED_VALUE"""),2815.6470400000003)</f>
        <v>2815.64704</v>
      </c>
      <c r="O46" s="9">
        <f>IFERROR(__xludf.DUMMYFUNCTION("""COMPUTED_VALUE"""),1.49)</f>
        <v>1.49</v>
      </c>
      <c r="P46" s="7">
        <f>IFERROR(__xludf.DUMMYFUNCTION("""COMPUTED_VALUE"""),41442.0)</f>
        <v>41442</v>
      </c>
      <c r="Q46" s="8">
        <f>IFERROR(__xludf.DUMMYFUNCTION("""COMPUTED_VALUE"""),94484.8)</f>
        <v>94484.8</v>
      </c>
      <c r="R46" s="8">
        <f>IFERROR(__xludf.DUMMYFUNCTION("""COMPUTED_VALUE"""),2.28)</f>
        <v>2.28</v>
      </c>
      <c r="S46" s="8">
        <f>IFERROR(__xludf.DUMMYFUNCTION("""COMPUTED_VALUE"""),12.653605038366873)</f>
        <v>12.65360504</v>
      </c>
      <c r="T46" s="19">
        <f>IFERROR(__xludf.DUMMYFUNCTION("""COMPUTED_VALUE"""),11.797421697794508)</f>
        <v>11.7974217</v>
      </c>
      <c r="U46" s="19">
        <f>IFERROR(__xludf.DUMMYFUNCTION("""COMPUTED_VALUE"""),0.8561833405723647)</f>
        <v>0.8561833406</v>
      </c>
      <c r="V46" s="19">
        <f>IFERROR(__xludf.DUMMYFUNCTION("""COMPUTED_VALUE"""),5.5500006350227755)</f>
        <v>5.550000635</v>
      </c>
      <c r="W46" s="19">
        <f>IFERROR(__xludf.DUMMYFUNCTION("""COMPUTED_VALUE"""),5.174469861819044)</f>
        <v>5.174469862</v>
      </c>
      <c r="X46" s="19">
        <f>IFERROR(__xludf.DUMMYFUNCTION("""COMPUTED_VALUE"""),0.3755307732037316)</f>
        <v>0.3755307732</v>
      </c>
      <c r="Y46" s="19">
        <f>IFERROR(__xludf.DUMMYFUNCTION("""COMPUTED_VALUE"""),0.8561833405723651)</f>
        <v>0.8561833406</v>
      </c>
      <c r="Z46" s="11">
        <f>IFERROR(__xludf.DUMMYFUNCTION("""COMPUTED_VALUE"""),413.6634313558097)</f>
        <v>413.6634314</v>
      </c>
      <c r="AA46" s="10" t="str">
        <f>IFERROR(__xludf.DUMMYFUNCTION("""COMPUTED_VALUE"""),"JUST AVERAGE")</f>
        <v>JUST AVERAGE</v>
      </c>
      <c r="AB46" s="10"/>
      <c r="AC46" s="10"/>
      <c r="AD46" s="10"/>
      <c r="AE46" s="10"/>
      <c r="AF46" s="10"/>
    </row>
    <row r="47">
      <c r="A47" s="13" t="s">
        <v>17</v>
      </c>
      <c r="B47" s="14">
        <v>2024.0</v>
      </c>
      <c r="C47" s="15">
        <v>45444.0</v>
      </c>
      <c r="D47" s="8">
        <f>IFERROR(__xludf.DUMMYFUNCTION("""COMPUTED_VALUE"""),530679.3)</f>
        <v>530679.3</v>
      </c>
      <c r="E47" s="8">
        <f>IFERROR(__xludf.DUMMYFUNCTION("""COMPUTED_VALUE"""),503479.15)</f>
        <v>503479.15</v>
      </c>
      <c r="F47" s="8">
        <f t="shared" si="1"/>
        <v>27200.15</v>
      </c>
      <c r="G47" s="7" t="str">
        <f>IFERROR(__xludf.DUMMYFUNCTION("""COMPUTED_VALUE"""),"Chop Cheong Bee Sdn Bhd")</f>
        <v>Chop Cheong Bee Sdn Bhd</v>
      </c>
      <c r="H47" s="7">
        <f>IFERROR(__xludf.DUMMYFUNCTION("""COMPUTED_VALUE"""),43800.0)</f>
        <v>43800</v>
      </c>
      <c r="I47" s="16">
        <f>IFERROR(__xludf.DUMMYFUNCTION("""COMPUTED_VALUE"""),2.12)</f>
        <v>2.12</v>
      </c>
      <c r="J47" s="16">
        <f>IFERROR(__xludf.DUMMYFUNCTION("""COMPUTED_VALUE"""),2121.0)</f>
        <v>2121</v>
      </c>
      <c r="K47" s="17">
        <f>IFERROR(__xludf.DUMMYFUNCTION("""COMPUTED_VALUE"""),0.048)</f>
        <v>0.048</v>
      </c>
      <c r="L47" s="17">
        <f>IFERROR(__xludf.DUMMYFUNCTION("""COMPUTED_VALUE"""),0.9515753424657534)</f>
        <v>0.9515753425</v>
      </c>
      <c r="M47" s="18">
        <f>IFERROR(__xludf.DUMMYFUNCTION("""COMPUTED_VALUE"""),35.0)</f>
        <v>35</v>
      </c>
      <c r="N47" s="7">
        <f>IFERROR(__xludf.DUMMYFUNCTION("""COMPUTED_VALUE"""),3059.76256)</f>
        <v>3059.76256</v>
      </c>
      <c r="O47" s="16">
        <f>IFERROR(__xludf.DUMMYFUNCTION("""COMPUTED_VALUE"""),1.6)</f>
        <v>1.6</v>
      </c>
      <c r="P47" s="7">
        <f>IFERROR(__xludf.DUMMYFUNCTION("""COMPUTED_VALUE"""),41679.0)</f>
        <v>41679</v>
      </c>
      <c r="Q47" s="8">
        <f>IFERROR(__xludf.DUMMYFUNCTION("""COMPUTED_VALUE"""),95617.58)</f>
        <v>95617.58</v>
      </c>
      <c r="R47" s="8">
        <f>IFERROR(__xludf.DUMMYFUNCTION("""COMPUTED_VALUE"""),2.29)</f>
        <v>2.29</v>
      </c>
      <c r="S47" s="8">
        <f>IFERROR(__xludf.DUMMYFUNCTION("""COMPUTED_VALUE"""),12.732534369826533)</f>
        <v>12.73253437</v>
      </c>
      <c r="T47" s="19">
        <f>IFERROR(__xludf.DUMMYFUNCTION("""COMPUTED_VALUE"""),12.079923942513016)</f>
        <v>12.07992394</v>
      </c>
      <c r="U47" s="19">
        <f>IFERROR(__xludf.DUMMYFUNCTION("""COMPUTED_VALUE"""),0.6526104273135171)</f>
        <v>0.6526104273</v>
      </c>
      <c r="V47" s="19">
        <f>IFERROR(__xludf.DUMMYFUNCTION("""COMPUTED_VALUE"""),5.550018103365511)</f>
        <v>5.550018103</v>
      </c>
      <c r="W47" s="19">
        <f>IFERROR(__xludf.DUMMYFUNCTION("""COMPUTED_VALUE"""),5.2655500170575325)</f>
        <v>5.265550017</v>
      </c>
      <c r="X47" s="19">
        <f>IFERROR(__xludf.DUMMYFUNCTION("""COMPUTED_VALUE"""),0.28446808630797893)</f>
        <v>0.2844680863</v>
      </c>
      <c r="Y47" s="19">
        <f>IFERROR(__xludf.DUMMYFUNCTION("""COMPUTED_VALUE"""),0.6526104273135157)</f>
        <v>0.6526104273</v>
      </c>
      <c r="Z47" s="11">
        <f>IFERROR(__xludf.DUMMYFUNCTION("""COMPUTED_VALUE"""),389.12634540117415)</f>
        <v>389.1263454</v>
      </c>
      <c r="AA47" s="10" t="str">
        <f>IFERROR(__xludf.DUMMYFUNCTION("""COMPUTED_VALUE"""),"JUST AVERAGE")</f>
        <v>JUST AVERAGE</v>
      </c>
      <c r="AB47" s="10"/>
      <c r="AC47" s="10"/>
      <c r="AD47" s="10"/>
      <c r="AE47" s="10"/>
      <c r="AF47" s="10"/>
    </row>
    <row r="48">
      <c r="A48" s="13" t="s">
        <v>17</v>
      </c>
      <c r="B48" s="14">
        <v>2025.0</v>
      </c>
      <c r="C48" s="15">
        <v>45658.0</v>
      </c>
      <c r="D48" s="8">
        <f>IFERROR(__xludf.DUMMYFUNCTION("TRANSPOSE(IMPORTRANGE(""1OP-qxVLNURBqstk-WZQd8qB2vYxDQLc8s35zWl_CMzo"", ""2025!C12:F12""))"),480302.05)</f>
        <v>480302.05</v>
      </c>
      <c r="E48" s="8">
        <f>IFERROR(__xludf.DUMMYFUNCTION("TRANSPOSE(IMPORTRANGE(""1OP-qxVLNURBqstk-WZQd8qB2vYxDQLc8s35zWl_CMzo"", ""2025!C37:F37""))"),462223.55)</f>
        <v>462223.55</v>
      </c>
      <c r="F48" s="8">
        <f t="shared" si="1"/>
        <v>18078.5</v>
      </c>
      <c r="G48" s="7" t="str">
        <f>IFERROR(__xludf.DUMMYFUNCTION("TRANSPOSE(IMPORTRANGE(""1OP-qxVLNURBqstk-WZQd8qB2vYxDQLc8s35zWl_CMzo"", ""2025!C45:F65""))"),"Chop Cheong Bee Sdn Bhd")</f>
        <v>Chop Cheong Bee Sdn Bhd</v>
      </c>
      <c r="H48" s="7">
        <f>IFERROR(__xludf.DUMMYFUNCTION("""COMPUTED_VALUE"""),43000.0)</f>
        <v>43000</v>
      </c>
      <c r="I48" s="16">
        <f>IFERROR(__xludf.DUMMYFUNCTION("""COMPUTED_VALUE"""),2.12)</f>
        <v>2.12</v>
      </c>
      <c r="J48" s="16">
        <f>IFERROR(__xludf.DUMMYFUNCTION("""COMPUTED_VALUE"""),1387.0)</f>
        <v>1387</v>
      </c>
      <c r="K48" s="17">
        <f>IFERROR(__xludf.DUMMYFUNCTION("""COMPUTED_VALUE"""),0.03225581395348837)</f>
        <v>0.03225581395</v>
      </c>
      <c r="L48" s="17">
        <f>IFERROR(__xludf.DUMMYFUNCTION("""COMPUTED_VALUE"""),0.9677441860465116)</f>
        <v>0.967744186</v>
      </c>
      <c r="M48" s="18">
        <f>IFERROR(__xludf.DUMMYFUNCTION("""COMPUTED_VALUE"""),42.0)</f>
        <v>42</v>
      </c>
      <c r="N48" s="7">
        <f>IFERROR(__xludf.DUMMYFUNCTION("""COMPUTED_VALUE"""),2731.0)</f>
        <v>2731</v>
      </c>
      <c r="O48" s="16">
        <f>IFERROR(__xludf.DUMMYFUNCTION("""COMPUTED_VALUE"""),1.5778666503352752)</f>
        <v>1.57786665</v>
      </c>
      <c r="P48" s="7">
        <f>IFERROR(__xludf.DUMMYFUNCTION("""COMPUTED_VALUE"""),41613.0)</f>
        <v>41613</v>
      </c>
      <c r="Q48" s="8">
        <f>IFERROR(__xludf.DUMMYFUNCTION("""COMPUTED_VALUE"""),86540.9)</f>
        <v>86540.9</v>
      </c>
      <c r="R48" s="8">
        <f>IFERROR(__xludf.DUMMYFUNCTION("""COMPUTED_VALUE"""),2.0796602023406145)</f>
        <v>2.079660202</v>
      </c>
      <c r="S48" s="8">
        <f>IFERROR(__xludf.DUMMYFUNCTION("""COMPUTED_VALUE"""),11.542115444692763)</f>
        <v>11.54211544</v>
      </c>
      <c r="T48" s="19">
        <f>IFERROR(__xludf.DUMMYFUNCTION("""COMPUTED_VALUE"""),11.10767188138322)</f>
        <v>11.10767188</v>
      </c>
      <c r="U48" s="19">
        <f>IFERROR(__xludf.DUMMYFUNCTION("""COMPUTED_VALUE"""),0.4344435633095429)</f>
        <v>0.4344435633</v>
      </c>
      <c r="V48" s="19">
        <f>IFERROR(__xludf.DUMMYFUNCTION("""COMPUTED_VALUE"""),5.550000635537648)</f>
        <v>5.550000636</v>
      </c>
      <c r="W48" s="19">
        <f>IFERROR(__xludf.DUMMYFUNCTION("""COMPUTED_VALUE"""),5.341099410798825)</f>
        <v>5.341099411</v>
      </c>
      <c r="X48" s="19">
        <f>IFERROR(__xludf.DUMMYFUNCTION("""COMPUTED_VALUE"""),0.2089012247388231)</f>
        <v>0.2089012247</v>
      </c>
      <c r="Y48" s="19">
        <f>IFERROR(__xludf.DUMMYFUNCTION("""COMPUTED_VALUE"""),0.4344435633095427)</f>
        <v>0.4344435633</v>
      </c>
      <c r="Z48" s="11">
        <f>IFERROR(__xludf.DUMMYFUNCTION("""COMPUTED_VALUE"""),303.6920088905811)</f>
        <v>303.6920089</v>
      </c>
      <c r="AA48" s="10" t="str">
        <f>IFERROR(__xludf.DUMMYFUNCTION("""COMPUTED_VALUE"""),"VERY BAD")</f>
        <v>VERY BAD</v>
      </c>
      <c r="AB48" s="10"/>
      <c r="AC48" s="10"/>
      <c r="AD48" s="10"/>
      <c r="AE48" s="10"/>
      <c r="AF48" s="10"/>
    </row>
    <row r="49">
      <c r="A49" s="13" t="s">
        <v>17</v>
      </c>
      <c r="B49" s="14">
        <v>2025.0</v>
      </c>
      <c r="C49" s="15">
        <v>45689.0</v>
      </c>
      <c r="D49" s="8">
        <f>IFERROR(__xludf.DUMMYFUNCTION("""COMPUTED_VALUE"""),548566.87)</f>
        <v>548566.87</v>
      </c>
      <c r="E49" s="8">
        <f>IFERROR(__xludf.DUMMYFUNCTION("""COMPUTED_VALUE"""),476389.75)</f>
        <v>476389.75</v>
      </c>
      <c r="F49" s="8">
        <f t="shared" si="1"/>
        <v>72177.12</v>
      </c>
      <c r="G49" s="7" t="str">
        <f>IFERROR(__xludf.DUMMYFUNCTION("""COMPUTED_VALUE"""),"Chop Cheong Bee Sdn Bhd")</f>
        <v>Chop Cheong Bee Sdn Bhd</v>
      </c>
      <c r="H49" s="7">
        <f>IFERROR(__xludf.DUMMYFUNCTION("""COMPUTED_VALUE"""),43800.0)</f>
        <v>43800</v>
      </c>
      <c r="I49" s="16">
        <f>IFERROR(__xludf.DUMMYFUNCTION("""COMPUTED_VALUE"""),2.12)</f>
        <v>2.12</v>
      </c>
      <c r="J49" s="16">
        <f>IFERROR(__xludf.DUMMYFUNCTION("""COMPUTED_VALUE"""),1752.0)</f>
        <v>1752</v>
      </c>
      <c r="K49" s="17">
        <f>IFERROR(__xludf.DUMMYFUNCTION("""COMPUTED_VALUE"""),0.04)</f>
        <v>0.04</v>
      </c>
      <c r="L49" s="17">
        <f>IFERROR(__xludf.DUMMYFUNCTION("""COMPUTED_VALUE"""),0.96)</f>
        <v>0.96</v>
      </c>
      <c r="M49" s="18">
        <f>IFERROR(__xludf.DUMMYFUNCTION("""COMPUTED_VALUE"""),42.0)</f>
        <v>42</v>
      </c>
      <c r="N49" s="7">
        <f>IFERROR(__xludf.DUMMYFUNCTION("""COMPUTED_VALUE"""),2898.0)</f>
        <v>2898</v>
      </c>
      <c r="O49" s="16">
        <f>IFERROR(__xludf.DUMMYFUNCTION("""COMPUTED_VALUE"""),1.479494149820786)</f>
        <v>1.47949415</v>
      </c>
      <c r="P49" s="7">
        <f>IFERROR(__xludf.DUMMYFUNCTION("""COMPUTED_VALUE"""),42048.0)</f>
        <v>42048</v>
      </c>
      <c r="Q49" s="8">
        <f>IFERROR(__xludf.DUMMYFUNCTION("""COMPUTED_VALUE"""),97938.88)</f>
        <v>97938.88</v>
      </c>
      <c r="R49" s="8">
        <f>IFERROR(__xludf.DUMMYFUNCTION("""COMPUTED_VALUE"""),2.3292161339421615)</f>
        <v>2.329216134</v>
      </c>
      <c r="S49" s="8">
        <f>IFERROR(__xludf.DUMMYFUNCTION("""COMPUTED_VALUE"""),13.046206002663622)</f>
        <v>13.046206</v>
      </c>
      <c r="T49" s="19">
        <f>IFERROR(__xludf.DUMMYFUNCTION("""COMPUTED_VALUE"""),11.329664906773212)</f>
        <v>11.32966491</v>
      </c>
      <c r="U49" s="19">
        <f>IFERROR(__xludf.DUMMYFUNCTION("""COMPUTED_VALUE"""),1.7165410958904097)</f>
        <v>1.716541096</v>
      </c>
      <c r="V49" s="19">
        <f>IFERROR(__xludf.DUMMYFUNCTION("""COMPUTED_VALUE"""),5.601114388892338)</f>
        <v>5.601114389</v>
      </c>
      <c r="W49" s="19">
        <f>IFERROR(__xludf.DUMMYFUNCTION("""COMPUTED_VALUE"""),4.864153541474029)</f>
        <v>4.864153541</v>
      </c>
      <c r="X49" s="19">
        <f>IFERROR(__xludf.DUMMYFUNCTION("""COMPUTED_VALUE"""),0.7369608474183087)</f>
        <v>0.7369608474</v>
      </c>
      <c r="Y49" s="19">
        <f>IFERROR(__xludf.DUMMYFUNCTION("""COMPUTED_VALUE"""),1.7165410958904108)</f>
        <v>1.716541096</v>
      </c>
      <c r="Z49" s="11">
        <f>IFERROR(__xludf.DUMMYFUNCTION("""COMPUTED_VALUE"""),359.8474919628912)</f>
        <v>359.847492</v>
      </c>
      <c r="AA49" s="10" t="str">
        <f>IFERROR(__xludf.DUMMYFUNCTION("""COMPUTED_VALUE"""),"VERY GOOD")</f>
        <v>VERY GOOD</v>
      </c>
      <c r="AB49" s="10"/>
      <c r="AC49" s="10"/>
      <c r="AD49" s="10"/>
      <c r="AE49" s="10"/>
      <c r="AF49" s="10"/>
    </row>
    <row r="50">
      <c r="A50" s="13" t="s">
        <v>17</v>
      </c>
      <c r="B50" s="14">
        <v>2025.0</v>
      </c>
      <c r="C50" s="15">
        <v>45717.0</v>
      </c>
      <c r="D50" s="8">
        <f>IFERROR(__xludf.DUMMYFUNCTION("""COMPUTED_VALUE"""),514557.26)</f>
        <v>514557.26</v>
      </c>
      <c r="E50" s="8">
        <f>IFERROR(__xludf.DUMMYFUNCTION("""COMPUTED_VALUE"""),458505.57)</f>
        <v>458505.57</v>
      </c>
      <c r="F50" s="8">
        <f t="shared" si="1"/>
        <v>56051.69</v>
      </c>
      <c r="G50" s="7" t="str">
        <f>IFERROR(__xludf.DUMMYFUNCTION("""COMPUTED_VALUE"""),"Chop Cheong Bee Sdn Bhd")</f>
        <v>Chop Cheong Bee Sdn Bhd</v>
      </c>
      <c r="H50" s="7">
        <f>IFERROR(__xludf.DUMMYFUNCTION("""COMPUTED_VALUE"""),43800.0)</f>
        <v>43800</v>
      </c>
      <c r="I50" s="16">
        <f>IFERROR(__xludf.DUMMYFUNCTION("""COMPUTED_VALUE"""),2.12)</f>
        <v>2.12</v>
      </c>
      <c r="J50" s="16">
        <f>IFERROR(__xludf.DUMMYFUNCTION("""COMPUTED_VALUE"""),1580.0)</f>
        <v>1580</v>
      </c>
      <c r="K50" s="17">
        <f>IFERROR(__xludf.DUMMYFUNCTION("""COMPUTED_VALUE"""),0.036073059360730596)</f>
        <v>0.03607305936</v>
      </c>
      <c r="L50" s="17">
        <f>IFERROR(__xludf.DUMMYFUNCTION("""COMPUTED_VALUE"""),0.9639269406392694)</f>
        <v>0.9639269406</v>
      </c>
      <c r="M50" s="18">
        <f>IFERROR(__xludf.DUMMYFUNCTION("""COMPUTED_VALUE"""),39.0)</f>
        <v>39</v>
      </c>
      <c r="N50" s="7">
        <f>IFERROR(__xludf.DUMMYFUNCTION("""COMPUTED_VALUE"""),2684.0)</f>
        <v>2684</v>
      </c>
      <c r="O50" s="16">
        <f>IFERROR(__xludf.DUMMYFUNCTION("""COMPUTED_VALUE"""),1.4474775438743712)</f>
        <v>1.447477544</v>
      </c>
      <c r="P50" s="11">
        <f>IFERROR(__xludf.DUMMYFUNCTION("""COMPUTED_VALUE"""),42220.0)</f>
        <v>42220</v>
      </c>
      <c r="Q50" s="19">
        <f>IFERROR(__xludf.DUMMYFUNCTION("""COMPUTED_VALUE"""),92713.01)</f>
        <v>92713.01</v>
      </c>
      <c r="R50" s="19">
        <f>IFERROR(__xludf.DUMMYFUNCTION("""COMPUTED_VALUE"""),2.195950023685457)</f>
        <v>2.195950024</v>
      </c>
      <c r="S50" s="8">
        <f>IFERROR(__xludf.DUMMYFUNCTION("""COMPUTED_VALUE"""),12.187523922311701)</f>
        <v>12.18752392</v>
      </c>
      <c r="T50" s="19">
        <f>IFERROR(__xludf.DUMMYFUNCTION("""COMPUTED_VALUE"""),10.85991402179062)</f>
        <v>10.85991402</v>
      </c>
      <c r="U50" s="19">
        <f>IFERROR(__xludf.DUMMYFUNCTION("""COMPUTED_VALUE"""),1.3276099005210806)</f>
        <v>1.327609901</v>
      </c>
      <c r="V50" s="19">
        <f>IFERROR(__xludf.DUMMYFUNCTION("""COMPUTED_VALUE"""),5.550000587835515)</f>
        <v>5.550000588</v>
      </c>
      <c r="W50" s="19">
        <f>IFERROR(__xludf.DUMMYFUNCTION("""COMPUTED_VALUE"""),4.945428586559751)</f>
        <v>4.945428587</v>
      </c>
      <c r="X50" s="19">
        <f>IFERROR(__xludf.DUMMYFUNCTION("""COMPUTED_VALUE"""),0.6045720012757645)</f>
        <v>0.6045720013</v>
      </c>
      <c r="Y50" s="19">
        <f>IFERROR(__xludf.DUMMYFUNCTION("""COMPUTED_VALUE"""),1.3276099005210802)</f>
        <v>1.327609901</v>
      </c>
      <c r="Z50" s="11">
        <f>IFERROR(__xludf.DUMMYFUNCTION("""COMPUTED_VALUE"""),374.9644793588818)</f>
        <v>374.9644794</v>
      </c>
      <c r="AA50" s="10" t="str">
        <f>IFERROR(__xludf.DUMMYFUNCTION("""COMPUTED_VALUE"""),"VERY GOOD")</f>
        <v>VERY GOOD</v>
      </c>
      <c r="AB50" s="10"/>
      <c r="AC50" s="10"/>
      <c r="AD50" s="10"/>
      <c r="AE50" s="10"/>
      <c r="AF50" s="10"/>
    </row>
    <row r="51">
      <c r="A51" s="13" t="s">
        <v>17</v>
      </c>
      <c r="B51" s="14">
        <v>2025.0</v>
      </c>
      <c r="C51" s="15">
        <v>45748.0</v>
      </c>
      <c r="D51" s="8">
        <f>IFERROR(__xludf.DUMMYFUNCTION("""COMPUTED_VALUE"""),479179.33)</f>
        <v>479179.33</v>
      </c>
      <c r="E51" s="8">
        <f>IFERROR(__xludf.DUMMYFUNCTION("""COMPUTED_VALUE"""),452580.55)</f>
        <v>452580.55</v>
      </c>
      <c r="F51" s="8">
        <f t="shared" si="1"/>
        <v>26598.78</v>
      </c>
      <c r="G51" s="7" t="str">
        <f>IFERROR(__xludf.DUMMYFUNCTION("""COMPUTED_VALUE"""),"Chop Cheong Bee Sdn Bhd")</f>
        <v>Chop Cheong Bee Sdn Bhd</v>
      </c>
      <c r="H51" s="7">
        <f>IFERROR(__xludf.DUMMYFUNCTION("""COMPUTED_VALUE"""),43783.0)</f>
        <v>43783</v>
      </c>
      <c r="I51" s="16">
        <f>IFERROR(__xludf.DUMMYFUNCTION("""COMPUTED_VALUE"""),2.12)</f>
        <v>2.12</v>
      </c>
      <c r="J51" s="16">
        <f>IFERROR(__xludf.DUMMYFUNCTION("""COMPUTED_VALUE"""),1965.0)</f>
        <v>1965</v>
      </c>
      <c r="K51" s="17">
        <f>IFERROR(__xludf.DUMMYFUNCTION("""COMPUTED_VALUE"""),0.04488043304478907)</f>
        <v>0.04488043304</v>
      </c>
      <c r="L51" s="17">
        <f>IFERROR(__xludf.DUMMYFUNCTION("""COMPUTED_VALUE"""),0.9551195669552109)</f>
        <v>0.955119567</v>
      </c>
      <c r="M51" s="18">
        <f>IFERROR(__xludf.DUMMYFUNCTION("""COMPUTED_VALUE"""),40.0)</f>
        <v>40</v>
      </c>
      <c r="N51" s="7">
        <f>IFERROR(__xludf.DUMMYFUNCTION("""COMPUTED_VALUE"""),2906.0)</f>
        <v>2906</v>
      </c>
      <c r="O51" s="16">
        <f>IFERROR(__xludf.DUMMYFUNCTION("""COMPUTED_VALUE"""),1.6074520281221132)</f>
        <v>1.607452028</v>
      </c>
      <c r="P51" s="11">
        <f>IFERROR(__xludf.DUMMYFUNCTION("""COMPUTED_VALUE"""),41818.0)</f>
        <v>41818</v>
      </c>
      <c r="Q51" s="19">
        <f>IFERROR(__xludf.DUMMYFUNCTION("""COMPUTED_VALUE"""),90391.5)</f>
        <v>90391.5</v>
      </c>
      <c r="R51" s="19">
        <f>IFERROR(__xludf.DUMMYFUNCTION("""COMPUTED_VALUE"""),2.16154526758812)</f>
        <v>2.161545268</v>
      </c>
      <c r="S51" s="8">
        <f>IFERROR(__xludf.DUMMYFUNCTION("""COMPUTED_VALUE"""),11.458685972547707)</f>
        <v>11.45868597</v>
      </c>
      <c r="T51" s="19">
        <f>IFERROR(__xludf.DUMMYFUNCTION("""COMPUTED_VALUE"""),10.822625424458368)</f>
        <v>10.82262542</v>
      </c>
      <c r="U51" s="19">
        <f>IFERROR(__xludf.DUMMYFUNCTION("""COMPUTED_VALUE"""),0.6360605480893398)</f>
        <v>0.6360605481</v>
      </c>
      <c r="V51" s="19">
        <f>IFERROR(__xludf.DUMMYFUNCTION("""COMPUTED_VALUE"""),5.301154754595289)</f>
        <v>5.301154755</v>
      </c>
      <c r="W51" s="19">
        <f>IFERROR(__xludf.DUMMYFUNCTION("""COMPUTED_VALUE"""),5.006892794123341)</f>
        <v>5.006892794</v>
      </c>
      <c r="X51" s="19">
        <f>IFERROR(__xludf.DUMMYFUNCTION("""COMPUTED_VALUE"""),0.29426196047194786)</f>
        <v>0.2942619605</v>
      </c>
      <c r="Y51" s="19">
        <f>IFERROR(__xludf.DUMMYFUNCTION("""COMPUTED_VALUE"""),0.6360605480893402)</f>
        <v>0.6360605481</v>
      </c>
      <c r="Z51" s="11">
        <f>IFERROR(__xludf.DUMMYFUNCTION("""COMPUTED_VALUE"""),321.08799264521724)</f>
        <v>321.0879926</v>
      </c>
      <c r="AA51" s="10" t="str">
        <f>IFERROR(__xludf.DUMMYFUNCTION("""COMPUTED_VALUE"""),"JUST AVERAGE")</f>
        <v>JUST AVERAGE</v>
      </c>
      <c r="AB51" s="10"/>
      <c r="AC51" s="10"/>
      <c r="AD51" s="10"/>
      <c r="AE51" s="10"/>
      <c r="AF51" s="10"/>
    </row>
    <row r="52">
      <c r="A52" s="13" t="s">
        <v>21</v>
      </c>
      <c r="B52" s="14">
        <v>2023.0</v>
      </c>
      <c r="C52" s="15">
        <v>44927.0</v>
      </c>
      <c r="D52" s="19">
        <f>IFERROR(__xludf.DUMMYFUNCTION("TRANSPOSE(IMPORTRANGE(""1Y1LY7dyNGLp0NieLSn-6awoDagvXjF5SwgLKBcwcayI"", ""2023!C12:F12""))"),243596.09)</f>
        <v>243596.09</v>
      </c>
      <c r="E52" s="19">
        <f>IFERROR(__xludf.DUMMYFUNCTION("TRANSPOSE(IMPORTRANGE(""1Y1LY7dyNGLp0NieLSn-6awoDagvXjF5SwgLKBcwcayI"", ""2023!C42:F42""))"),262305.7)</f>
        <v>262305.7</v>
      </c>
      <c r="F52" s="8">
        <f t="shared" si="1"/>
        <v>-18709.61</v>
      </c>
      <c r="G52" s="10" t="str">
        <f>IFERROR(__xludf.DUMMYFUNCTION("TRANSPOSE(IMPORTRANGE(""1Y1LY7dyNGLp0NieLSn-6awoDagvXjF5SwgLKBcwcayI"", ""2023!C50:F70""))"),"Chop Cheong Bee Sdn Bhd")</f>
        <v>Chop Cheong Bee Sdn Bhd</v>
      </c>
      <c r="H52" s="7">
        <f>IFERROR(__xludf.DUMMYFUNCTION("""COMPUTED_VALUE"""),14000.0)</f>
        <v>14000</v>
      </c>
      <c r="I52" s="16">
        <f>IFERROR(__xludf.DUMMYFUNCTION("""COMPUTED_VALUE"""),2.03)</f>
        <v>2.03</v>
      </c>
      <c r="J52" s="16">
        <f>IFERROR(__xludf.DUMMYFUNCTION("""COMPUTED_VALUE"""),486.0)</f>
        <v>486</v>
      </c>
      <c r="K52" s="17">
        <f>IFERROR(__xludf.DUMMYFUNCTION("""COMPUTED_VALUE"""),0.03471428571428571)</f>
        <v>0.03471428571</v>
      </c>
      <c r="L52" s="17">
        <f>IFERROR(__xludf.DUMMYFUNCTION("""COMPUTED_VALUE"""),0.9652857142857143)</f>
        <v>0.9652857143</v>
      </c>
      <c r="M52" s="18">
        <f>IFERROR(__xludf.DUMMYFUNCTION("""COMPUTED_VALUE"""),35.0)</f>
        <v>35</v>
      </c>
      <c r="N52" s="18">
        <f>IFERROR(__xludf.DUMMYFUNCTION("""COMPUTED_VALUE"""),904.66892)</f>
        <v>904.66892</v>
      </c>
      <c r="O52" s="9">
        <f>IFERROR(__xludf.DUMMYFUNCTION("""COMPUTED_VALUE"""),1.45)</f>
        <v>1.45</v>
      </c>
      <c r="P52" s="11">
        <f>IFERROR(__xludf.DUMMYFUNCTION("""COMPUTED_VALUE"""),13514.0)</f>
        <v>13514</v>
      </c>
      <c r="Q52" s="19">
        <f>IFERROR(__xludf.DUMMYFUNCTION("""COMPUTED_VALUE"""),31195.48)</f>
        <v>31195.48</v>
      </c>
      <c r="R52" s="19">
        <f>IFERROR(__xludf.DUMMYFUNCTION("""COMPUTED_VALUE"""),2.3083824182329438)</f>
        <v>2.308382418</v>
      </c>
      <c r="S52" s="8">
        <f>IFERROR(__xludf.DUMMYFUNCTION("""COMPUTED_VALUE"""),18.02546174337724)</f>
        <v>18.02546174</v>
      </c>
      <c r="T52" s="26">
        <f>IFERROR(__xludf.DUMMYFUNCTION("""COMPUTED_VALUE"""),19.409923042770462)</f>
        <v>19.40992304</v>
      </c>
      <c r="U52" s="26">
        <f>IFERROR(__xludf.DUMMYFUNCTION("""COMPUTED_VALUE"""),-1.384461299393223)</f>
        <v>-1.384461299</v>
      </c>
      <c r="V52" s="26">
        <f>IFERROR(__xludf.DUMMYFUNCTION("""COMPUTED_VALUE"""),5.927977065908266)</f>
        <v>5.927977066</v>
      </c>
      <c r="W52" s="26">
        <f>IFERROR(__xludf.DUMMYFUNCTION("""COMPUTED_VALUE"""),8.408452121909969)</f>
        <v>8.408452122</v>
      </c>
      <c r="X52" s="26">
        <f>IFERROR(__xludf.DUMMYFUNCTION("""COMPUTED_VALUE"""),-2.480475056001703)</f>
        <v>-2.480475056</v>
      </c>
      <c r="Y52" s="20">
        <f>IFERROR(__xludf.DUMMYFUNCTION("""COMPUTED_VALUE"""),-1.384461299393223)</f>
        <v>-1.384461299</v>
      </c>
      <c r="Z52" s="11">
        <f>IFERROR(__xludf.DUMMYFUNCTION("""COMPUTED_VALUE"""),384.18078817733993)</f>
        <v>384.1807882</v>
      </c>
      <c r="AA52" s="20" t="str">
        <f>IFERROR(__xludf.DUMMYFUNCTION("""COMPUTED_VALUE"""),"VERY BAD")</f>
        <v>VERY BAD</v>
      </c>
      <c r="AB52" s="10"/>
      <c r="AC52" s="10"/>
      <c r="AD52" s="10"/>
      <c r="AE52" s="10"/>
      <c r="AF52" s="10"/>
    </row>
    <row r="53">
      <c r="A53" s="13" t="s">
        <v>21</v>
      </c>
      <c r="B53" s="14">
        <v>2023.0</v>
      </c>
      <c r="C53" s="15">
        <v>44958.0</v>
      </c>
      <c r="D53" s="8">
        <f>IFERROR(__xludf.DUMMYFUNCTION("""COMPUTED_VALUE"""),190675.09000000003)</f>
        <v>190675.09</v>
      </c>
      <c r="E53" s="8">
        <f>IFERROR(__xludf.DUMMYFUNCTION("""COMPUTED_VALUE"""),172720.15)</f>
        <v>172720.15</v>
      </c>
      <c r="F53" s="8">
        <f t="shared" si="1"/>
        <v>17954.94</v>
      </c>
      <c r="G53" s="9" t="str">
        <f>IFERROR(__xludf.DUMMYFUNCTION("""COMPUTED_VALUE"""),"Chop Cheong Bee Sdn Bhd")</f>
        <v>Chop Cheong Bee Sdn Bhd</v>
      </c>
      <c r="H53" s="7">
        <f>IFERROR(__xludf.DUMMYFUNCTION("""COMPUTED_VALUE"""),15000.0)</f>
        <v>15000</v>
      </c>
      <c r="I53" s="16">
        <f>IFERROR(__xludf.DUMMYFUNCTION("""COMPUTED_VALUE"""),2.0)</f>
        <v>2</v>
      </c>
      <c r="J53" s="16">
        <f>IFERROR(__xludf.DUMMYFUNCTION("""COMPUTED_VALUE"""),660.0)</f>
        <v>660</v>
      </c>
      <c r="K53" s="17">
        <f>IFERROR(__xludf.DUMMYFUNCTION("""COMPUTED_VALUE"""),0.044)</f>
        <v>0.044</v>
      </c>
      <c r="L53" s="17">
        <f>IFERROR(__xludf.DUMMYFUNCTION("""COMPUTED_VALUE"""),0.956)</f>
        <v>0.956</v>
      </c>
      <c r="M53" s="18">
        <f>IFERROR(__xludf.DUMMYFUNCTION("""COMPUTED_VALUE"""),35.0)</f>
        <v>35</v>
      </c>
      <c r="N53" s="18">
        <f>IFERROR(__xludf.DUMMYFUNCTION("""COMPUTED_VALUE"""),958.1534399999999)</f>
        <v>958.15344</v>
      </c>
      <c r="O53" s="9">
        <f>IFERROR(__xludf.DUMMYFUNCTION("""COMPUTED_VALUE"""),1.49)</f>
        <v>1.49</v>
      </c>
      <c r="P53" s="7">
        <f>IFERROR(__xludf.DUMMYFUNCTION("""COMPUTED_VALUE"""),14340.0)</f>
        <v>14340</v>
      </c>
      <c r="Q53" s="8">
        <f>IFERROR(__xludf.DUMMYFUNCTION("""COMPUTED_VALUE"""),32152.8)</f>
        <v>32152.8</v>
      </c>
      <c r="R53" s="8">
        <f>IFERROR(__xludf.DUMMYFUNCTION("""COMPUTED_VALUE"""),2.2421757322175733)</f>
        <v>2.242175732</v>
      </c>
      <c r="S53" s="8">
        <f>IFERROR(__xludf.DUMMYFUNCTION("""COMPUTED_VALUE"""),13.296728730822874)</f>
        <v>13.29672873</v>
      </c>
      <c r="T53" s="27">
        <f>IFERROR(__xludf.DUMMYFUNCTION("""COMPUTED_VALUE"""),12.044640864714086)</f>
        <v>12.04464086</v>
      </c>
      <c r="U53" s="27">
        <f>IFERROR(__xludf.DUMMYFUNCTION("""COMPUTED_VALUE"""),1.2520878661087889)</f>
        <v>1.252087866</v>
      </c>
      <c r="V53" s="27">
        <f>IFERROR(__xludf.DUMMYFUNCTION("""COMPUTED_VALUE"""),5.9302794779925865)</f>
        <v>5.930279478</v>
      </c>
      <c r="W53" s="26">
        <f>IFERROR(__xludf.DUMMYFUNCTION("""COMPUTED_VALUE"""),5.371854084247717)</f>
        <v>5.371854084</v>
      </c>
      <c r="X53" s="26">
        <f>IFERROR(__xludf.DUMMYFUNCTION("""COMPUTED_VALUE"""),0.5584253937448693)</f>
        <v>0.5584253937</v>
      </c>
      <c r="Y53" s="20">
        <f>IFERROR(__xludf.DUMMYFUNCTION("""COMPUTED_VALUE"""),1.2520878661087889)</f>
        <v>1.252087866</v>
      </c>
      <c r="Z53" s="11">
        <f>IFERROR(__xludf.DUMMYFUNCTION("""COMPUTED_VALUE"""),359.6510067114094)</f>
        <v>359.6510067</v>
      </c>
      <c r="AA53" s="20" t="str">
        <f>IFERROR(__xludf.DUMMYFUNCTION("""COMPUTED_VALUE"""),"VERY GOOD")</f>
        <v>VERY GOOD</v>
      </c>
      <c r="AB53" s="10"/>
      <c r="AC53" s="10"/>
      <c r="AD53" s="10"/>
      <c r="AE53" s="10"/>
      <c r="AF53" s="10"/>
    </row>
    <row r="54">
      <c r="A54" s="13" t="s">
        <v>21</v>
      </c>
      <c r="B54" s="14">
        <v>2023.0</v>
      </c>
      <c r="C54" s="15">
        <v>44986.0</v>
      </c>
      <c r="D54" s="8">
        <f>IFERROR(__xludf.DUMMYFUNCTION("""COMPUTED_VALUE"""),196358.74)</f>
        <v>196358.74</v>
      </c>
      <c r="E54" s="8">
        <f>IFERROR(__xludf.DUMMYFUNCTION("""COMPUTED_VALUE"""),166335.73)</f>
        <v>166335.73</v>
      </c>
      <c r="F54" s="8">
        <f t="shared" si="1"/>
        <v>30023.01</v>
      </c>
      <c r="G54" s="9" t="str">
        <f>IFERROR(__xludf.DUMMYFUNCTION("""COMPUTED_VALUE"""),"Chop Cheong Bee Sdn Bhd")</f>
        <v>Chop Cheong Bee Sdn Bhd</v>
      </c>
      <c r="H54" s="7">
        <f>IFERROR(__xludf.DUMMYFUNCTION("""COMPUTED_VALUE"""),15000.0)</f>
        <v>15000</v>
      </c>
      <c r="I54" s="16">
        <f>IFERROR(__xludf.DUMMYFUNCTION("""COMPUTED_VALUE"""),2.02)</f>
        <v>2.02</v>
      </c>
      <c r="J54" s="16">
        <f>IFERROR(__xludf.DUMMYFUNCTION("""COMPUTED_VALUE"""),370.0)</f>
        <v>370</v>
      </c>
      <c r="K54" s="17">
        <f>IFERROR(__xludf.DUMMYFUNCTION("""COMPUTED_VALUE"""),0.0247)</f>
        <v>0.0247</v>
      </c>
      <c r="L54" s="17">
        <f>IFERROR(__xludf.DUMMYFUNCTION("""COMPUTED_VALUE"""),0.9753333333333334)</f>
        <v>0.9753333333</v>
      </c>
      <c r="M54" s="18">
        <f>IFERROR(__xludf.DUMMYFUNCTION("""COMPUTED_VALUE"""),35.0)</f>
        <v>35</v>
      </c>
      <c r="N54" s="18">
        <f>IFERROR(__xludf.DUMMYFUNCTION("""COMPUTED_VALUE"""),993.4632)</f>
        <v>993.4632</v>
      </c>
      <c r="O54" s="9">
        <f>IFERROR(__xludf.DUMMYFUNCTION("""COMPUTED_VALUE"""),1.5)</f>
        <v>1.5</v>
      </c>
      <c r="P54" s="7">
        <f>IFERROR(__xludf.DUMMYFUNCTION("""COMPUTED_VALUE"""),14630.0)</f>
        <v>14630</v>
      </c>
      <c r="Q54" s="8">
        <f>IFERROR(__xludf.DUMMYFUNCTION("""COMPUTED_VALUE"""),33115.44)</f>
        <v>33115.44</v>
      </c>
      <c r="R54" s="7">
        <f>IFERROR(__xludf.DUMMYFUNCTION("""COMPUTED_VALUE"""),2.2635297334244706)</f>
        <v>2.263529733</v>
      </c>
      <c r="S54" s="8">
        <f>IFERROR(__xludf.DUMMYFUNCTION("""COMPUTED_VALUE"""),13.421650034176348)</f>
        <v>13.42165003</v>
      </c>
      <c r="T54" s="7">
        <f>IFERROR(__xludf.DUMMYFUNCTION("""COMPUTED_VALUE"""),11.369496240601505)</f>
        <v>11.36949624</v>
      </c>
      <c r="U54" s="7">
        <f>IFERROR(__xludf.DUMMYFUNCTION("""COMPUTED_VALUE"""),2.052153793574845)</f>
        <v>2.052153794</v>
      </c>
      <c r="V54" s="7">
        <f>IFERROR(__xludf.DUMMYFUNCTION("""COMPUTED_VALUE"""),5.929522301379658)</f>
        <v>5.929522301</v>
      </c>
      <c r="W54" s="26">
        <f>IFERROR(__xludf.DUMMYFUNCTION("""COMPUTED_VALUE"""),5.02290562951904)</f>
        <v>5.02290563</v>
      </c>
      <c r="X54" s="26">
        <f>IFERROR(__xludf.DUMMYFUNCTION("""COMPUTED_VALUE"""),0.9066166718606175)</f>
        <v>0.9066166719</v>
      </c>
      <c r="Y54" s="20">
        <f>IFERROR(__xludf.DUMMYFUNCTION("""COMPUTED_VALUE"""),2.052153793574845)</f>
        <v>2.052153794</v>
      </c>
      <c r="Z54" s="11">
        <f>IFERROR(__xludf.DUMMYFUNCTION("""COMPUTED_VALUE"""),367.9493333333334)</f>
        <v>367.9493333</v>
      </c>
      <c r="AA54" s="20" t="str">
        <f>IFERROR(__xludf.DUMMYFUNCTION("""COMPUTED_VALUE"""),"VERY GOOD")</f>
        <v>VERY GOOD</v>
      </c>
      <c r="AB54" s="10"/>
      <c r="AC54" s="10"/>
      <c r="AD54" s="10"/>
      <c r="AE54" s="10"/>
      <c r="AF54" s="10"/>
    </row>
    <row r="55">
      <c r="A55" s="13" t="s">
        <v>21</v>
      </c>
      <c r="B55" s="14">
        <v>2023.0</v>
      </c>
      <c r="C55" s="15">
        <v>45017.0</v>
      </c>
      <c r="D55" s="8">
        <f>IFERROR(__xludf.DUMMYFUNCTION("""COMPUTED_VALUE"""),205946.35)</f>
        <v>205946.35</v>
      </c>
      <c r="E55" s="8">
        <f>IFERROR(__xludf.DUMMYFUNCTION("""COMPUTED_VALUE"""),176814.82)</f>
        <v>176814.82</v>
      </c>
      <c r="F55" s="8">
        <f t="shared" si="1"/>
        <v>29131.53</v>
      </c>
      <c r="G55" s="9" t="str">
        <f>IFERROR(__xludf.DUMMYFUNCTION("""COMPUTED_VALUE"""),"Chop Cheong Bee Sdn Bhd")</f>
        <v>Chop Cheong Bee Sdn Bhd</v>
      </c>
      <c r="H55" s="7">
        <f>IFERROR(__xludf.DUMMYFUNCTION("""COMPUTED_VALUE"""),15000.0)</f>
        <v>15000</v>
      </c>
      <c r="I55" s="16">
        <f>IFERROR(__xludf.DUMMYFUNCTION("""COMPUTED_VALUE"""),2.03)</f>
        <v>2.03</v>
      </c>
      <c r="J55" s="16">
        <f>IFERROR(__xludf.DUMMYFUNCTION("""COMPUTED_VALUE"""),450.0)</f>
        <v>450</v>
      </c>
      <c r="K55" s="17">
        <f>IFERROR(__xludf.DUMMYFUNCTION("""COMPUTED_VALUE"""),0.03)</f>
        <v>0.03</v>
      </c>
      <c r="L55" s="17">
        <f>IFERROR(__xludf.DUMMYFUNCTION("""COMPUTED_VALUE"""),0.97)</f>
        <v>0.97</v>
      </c>
      <c r="M55" s="18">
        <f>IFERROR(__xludf.DUMMYFUNCTION("""COMPUTED_VALUE"""),35.0)</f>
        <v>35</v>
      </c>
      <c r="N55" s="18">
        <f>IFERROR(__xludf.DUMMYFUNCTION("""COMPUTED_VALUE"""),1084.2986)</f>
        <v>1084.2986</v>
      </c>
      <c r="O55" s="9">
        <f>IFERROR(__xludf.DUMMYFUNCTION("""COMPUTED_VALUE"""),1.54)</f>
        <v>1.54</v>
      </c>
      <c r="P55" s="7">
        <f>IFERROR(__xludf.DUMMYFUNCTION("""COMPUTED_VALUE"""),14550.0)</f>
        <v>14550</v>
      </c>
      <c r="Q55" s="8">
        <f>IFERROR(__xludf.DUMMYFUNCTION("""COMPUTED_VALUE"""),35204.5)</f>
        <v>35204.5</v>
      </c>
      <c r="R55" s="8">
        <f>IFERROR(__xludf.DUMMYFUNCTION("""COMPUTED_VALUE"""),2.419553264604811)</f>
        <v>2.419553265</v>
      </c>
      <c r="S55" s="8">
        <f>IFERROR(__xludf.DUMMYFUNCTION("""COMPUTED_VALUE"""),14.154388316151204)</f>
        <v>14.15438832</v>
      </c>
      <c r="T55" s="8">
        <f>IFERROR(__xludf.DUMMYFUNCTION("""COMPUTED_VALUE"""),12.152221305841925)</f>
        <v>12.15222131</v>
      </c>
      <c r="U55" s="8">
        <f>IFERROR(__xludf.DUMMYFUNCTION("""COMPUTED_VALUE"""),2.0021670103092783)</f>
        <v>2.00216701</v>
      </c>
      <c r="V55" s="8">
        <f>IFERROR(__xludf.DUMMYFUNCTION("""COMPUTED_VALUE"""),5.850000710136489)</f>
        <v>5.85000071</v>
      </c>
      <c r="W55" s="26">
        <f>IFERROR(__xludf.DUMMYFUNCTION("""COMPUTED_VALUE"""),5.022506213694272)</f>
        <v>5.022506214</v>
      </c>
      <c r="X55" s="26">
        <f>IFERROR(__xludf.DUMMYFUNCTION("""COMPUTED_VALUE"""),0.8274944964422168)</f>
        <v>0.8274944964</v>
      </c>
      <c r="Y55" s="20">
        <f>IFERROR(__xludf.DUMMYFUNCTION("""COMPUTED_VALUE"""),2.0021670103092783)</f>
        <v>2.00216701</v>
      </c>
      <c r="Z55" s="11">
        <f>IFERROR(__xludf.DUMMYFUNCTION("""COMPUTED_VALUE"""),381.0010822510822)</f>
        <v>381.0010823</v>
      </c>
      <c r="AA55" s="20" t="str">
        <f>IFERROR(__xludf.DUMMYFUNCTION("""COMPUTED_VALUE"""),"VERY GOOD")</f>
        <v>VERY GOOD</v>
      </c>
      <c r="AB55" s="10"/>
      <c r="AC55" s="10"/>
      <c r="AD55" s="10"/>
      <c r="AE55" s="10"/>
      <c r="AF55" s="10"/>
    </row>
    <row r="56">
      <c r="A56" s="13" t="s">
        <v>21</v>
      </c>
      <c r="B56" s="14">
        <v>2024.0</v>
      </c>
      <c r="C56" s="15">
        <v>45292.0</v>
      </c>
      <c r="D56" s="8">
        <f>IFERROR(__xludf.DUMMYFUNCTION("TRANSPOSE(IMPORTRANGE(""1Y1LY7dyNGLp0NieLSn-6awoDagvXjF5SwgLKBcwcayI"", ""2024!C12:H12""))"),194627.76)</f>
        <v>194627.76</v>
      </c>
      <c r="E56" s="8">
        <f>IFERROR(__xludf.DUMMYFUNCTION("TRANSPOSE(IMPORTRANGE(""1Y1LY7dyNGLp0NieLSn-6awoDagvXjF5SwgLKBcwcayI"", ""2024!C43:H43""))"),173717.95)</f>
        <v>173717.95</v>
      </c>
      <c r="F56" s="8">
        <f t="shared" si="1"/>
        <v>20909.81</v>
      </c>
      <c r="G56" s="9" t="str">
        <f>IFERROR(__xludf.DUMMYFUNCTION("TRANSPOSE(IMPORTRANGE(""1Y1LY7dyNGLp0NieLSn-6awoDagvXjF5SwgLKBcwcayI"", ""2024!C51:H71""))"),"Chop Cheong Bee Sdn Bhd")</f>
        <v>Chop Cheong Bee Sdn Bhd</v>
      </c>
      <c r="H56" s="7">
        <f>IFERROR(__xludf.DUMMYFUNCTION("""COMPUTED_VALUE"""),15000.0)</f>
        <v>15000</v>
      </c>
      <c r="I56" s="16">
        <f>IFERROR(__xludf.DUMMYFUNCTION("""COMPUTED_VALUE"""),2.03)</f>
        <v>2.03</v>
      </c>
      <c r="J56" s="16">
        <f>IFERROR(__xludf.DUMMYFUNCTION("""COMPUTED_VALUE"""),579.0)</f>
        <v>579</v>
      </c>
      <c r="K56" s="17">
        <f>IFERROR(__xludf.DUMMYFUNCTION("""COMPUTED_VALUE"""),0.0386)</f>
        <v>0.0386</v>
      </c>
      <c r="L56" s="17">
        <f>IFERROR(__xludf.DUMMYFUNCTION("""COMPUTED_VALUE"""),0.9614)</f>
        <v>0.9614</v>
      </c>
      <c r="M56" s="18">
        <f>IFERROR(__xludf.DUMMYFUNCTION("""COMPUTED_VALUE"""),35.0)</f>
        <v>35</v>
      </c>
      <c r="N56" s="18">
        <f>IFERROR(__xludf.DUMMYFUNCTION("""COMPUTED_VALUE"""),922.9134200000001)</f>
        <v>922.91342</v>
      </c>
      <c r="O56" s="9">
        <f>IFERROR(__xludf.DUMMYFUNCTION("""COMPUTED_VALUE"""),1.43)</f>
        <v>1.43</v>
      </c>
      <c r="P56" s="7">
        <f>IFERROR(__xludf.DUMMYFUNCTION("""COMPUTED_VALUE"""),14421.0)</f>
        <v>14421</v>
      </c>
      <c r="Q56" s="8">
        <f>IFERROR(__xludf.DUMMYFUNCTION("""COMPUTED_VALUE"""),32269.7)</f>
        <v>32269.7</v>
      </c>
      <c r="R56" s="8">
        <f>IFERROR(__xludf.DUMMYFUNCTION("""COMPUTED_VALUE"""),2.237688093752167)</f>
        <v>2.237688094</v>
      </c>
      <c r="S56" s="8">
        <f>IFERROR(__xludf.DUMMYFUNCTION("""COMPUTED_VALUE"""),13.496134803411692)</f>
        <v>13.4961348</v>
      </c>
      <c r="T56" s="27">
        <f>IFERROR(__xludf.DUMMYFUNCTION("""COMPUTED_VALUE"""),12.046179183135706)</f>
        <v>12.04617918</v>
      </c>
      <c r="U56" s="27">
        <f>IFERROR(__xludf.DUMMYFUNCTION("""COMPUTED_VALUE"""),1.4499556202759862)</f>
        <v>1.44995562</v>
      </c>
      <c r="V56" s="27">
        <f>IFERROR(__xludf.DUMMYFUNCTION("""COMPUTED_VALUE"""),6.031285075473277)</f>
        <v>6.031285075</v>
      </c>
      <c r="W56" s="26">
        <f>IFERROR(__xludf.DUMMYFUNCTION("""COMPUTED_VALUE"""),5.383314688391898)</f>
        <v>5.383314688</v>
      </c>
      <c r="X56" s="26">
        <f>IFERROR(__xludf.DUMMYFUNCTION("""COMPUTED_VALUE"""),0.6479703870813793)</f>
        <v>0.6479703871</v>
      </c>
      <c r="Y56" s="20">
        <f>IFERROR(__xludf.DUMMYFUNCTION("""COMPUTED_VALUE"""),1.4499556202759862)</f>
        <v>1.44995562</v>
      </c>
      <c r="Z56" s="11">
        <f>IFERROR(__xludf.DUMMYFUNCTION("""COMPUTED_VALUE"""),376.1037296037296)</f>
        <v>376.1037296</v>
      </c>
      <c r="AA56" s="20" t="str">
        <f>IFERROR(__xludf.DUMMYFUNCTION("""COMPUTED_VALUE"""),"VERY GOOD")</f>
        <v>VERY GOOD</v>
      </c>
      <c r="AB56" s="10"/>
      <c r="AC56" s="10"/>
      <c r="AD56" s="10"/>
      <c r="AE56" s="10"/>
      <c r="AF56" s="10"/>
    </row>
    <row r="57">
      <c r="A57" s="13" t="s">
        <v>21</v>
      </c>
      <c r="B57" s="14">
        <v>2024.0</v>
      </c>
      <c r="C57" s="15">
        <v>45323.0</v>
      </c>
      <c r="D57" s="19">
        <f>IFERROR(__xludf.DUMMYFUNCTION("""COMPUTED_VALUE"""),193108.52)</f>
        <v>193108.52</v>
      </c>
      <c r="E57" s="19">
        <f>IFERROR(__xludf.DUMMYFUNCTION("""COMPUTED_VALUE"""),188983.5)</f>
        <v>188983.5</v>
      </c>
      <c r="F57" s="8">
        <f t="shared" si="1"/>
        <v>4125.02</v>
      </c>
      <c r="G57" s="10" t="str">
        <f>IFERROR(__xludf.DUMMYFUNCTION("""COMPUTED_VALUE"""),"Chop Cheong Bee Sdn Bhd")</f>
        <v>Chop Cheong Bee Sdn Bhd</v>
      </c>
      <c r="H57" s="7">
        <f>IFERROR(__xludf.DUMMYFUNCTION("""COMPUTED_VALUE"""),15000.0)</f>
        <v>15000</v>
      </c>
      <c r="I57" s="16">
        <f>IFERROR(__xludf.DUMMYFUNCTION("""COMPUTED_VALUE"""),2.13)</f>
        <v>2.13</v>
      </c>
      <c r="J57" s="16">
        <f>IFERROR(__xludf.DUMMYFUNCTION("""COMPUTED_VALUE"""),256.0)</f>
        <v>256</v>
      </c>
      <c r="K57" s="17">
        <f>IFERROR(__xludf.DUMMYFUNCTION("""COMPUTED_VALUE"""),0.017066666666666667)</f>
        <v>0.01706666667</v>
      </c>
      <c r="L57" s="17">
        <f>IFERROR(__xludf.DUMMYFUNCTION("""COMPUTED_VALUE"""),0.9829333333333333)</f>
        <v>0.9829333333</v>
      </c>
      <c r="M57" s="18">
        <f>IFERROR(__xludf.DUMMYFUNCTION("""COMPUTED_VALUE"""),35.0)</f>
        <v>35</v>
      </c>
      <c r="N57" s="18">
        <f>IFERROR(__xludf.DUMMYFUNCTION("""COMPUTED_VALUE"""),897.8720000000001)</f>
        <v>897.872</v>
      </c>
      <c r="O57" s="9">
        <f>IFERROR(__xludf.DUMMYFUNCTION("""COMPUTED_VALUE"""),1.36)</f>
        <v>1.36</v>
      </c>
      <c r="P57" s="11">
        <f>IFERROR(__xludf.DUMMYFUNCTION("""COMPUTED_VALUE"""),14744.0)</f>
        <v>14744</v>
      </c>
      <c r="Q57" s="19">
        <f>IFERROR(__xludf.DUMMYFUNCTION("""COMPUTED_VALUE"""),33010.0)</f>
        <v>33010</v>
      </c>
      <c r="R57" s="19">
        <f>IFERROR(__xludf.DUMMYFUNCTION("""COMPUTED_VALUE"""),2.2388768312533913)</f>
        <v>2.238876831</v>
      </c>
      <c r="S57" s="8">
        <f>IFERROR(__xludf.DUMMYFUNCTION("""COMPUTED_VALUE"""),13.097430819316331)</f>
        <v>13.09743082</v>
      </c>
      <c r="T57" s="26">
        <f>IFERROR(__xludf.DUMMYFUNCTION("""COMPUTED_VALUE"""),12.817654639175258)</f>
        <v>12.81765464</v>
      </c>
      <c r="U57" s="26">
        <f>IFERROR(__xludf.DUMMYFUNCTION("""COMPUTED_VALUE"""),0.27977618014107364)</f>
        <v>0.2797761801</v>
      </c>
      <c r="V57" s="26">
        <f>IFERROR(__xludf.DUMMYFUNCTION("""COMPUTED_VALUE"""),5.850000605877007)</f>
        <v>5.850000606</v>
      </c>
      <c r="W57" s="26">
        <f>IFERROR(__xludf.DUMMYFUNCTION("""COMPUTED_VALUE"""),5.725037867312936)</f>
        <v>5.725037867</v>
      </c>
      <c r="X57" s="26">
        <f>IFERROR(__xludf.DUMMYFUNCTION("""COMPUTED_VALUE"""),0.12496273856407125)</f>
        <v>0.1249627386</v>
      </c>
      <c r="Y57" s="20">
        <f>IFERROR(__xludf.DUMMYFUNCTION("""COMPUTED_VALUE"""),0.27977618014107364)</f>
        <v>0.2797761801</v>
      </c>
      <c r="Z57" s="11">
        <f>IFERROR(__xludf.DUMMYFUNCTION("""COMPUTED_VALUE"""),404.53431372549016)</f>
        <v>404.5343137</v>
      </c>
      <c r="AA57" s="20" t="str">
        <f>IFERROR(__xludf.DUMMYFUNCTION("""COMPUTED_VALUE"""),"VERY BAD")</f>
        <v>VERY BAD</v>
      </c>
      <c r="AB57" s="10"/>
      <c r="AC57" s="10"/>
      <c r="AD57" s="10"/>
      <c r="AE57" s="10"/>
      <c r="AF57" s="10"/>
    </row>
    <row r="58">
      <c r="A58" s="13" t="s">
        <v>21</v>
      </c>
      <c r="B58" s="14">
        <v>2024.0</v>
      </c>
      <c r="C58" s="15">
        <v>45352.0</v>
      </c>
      <c r="D58" s="8">
        <f>IFERROR(__xludf.DUMMYFUNCTION("""COMPUTED_VALUE"""),194315.38)</f>
        <v>194315.38</v>
      </c>
      <c r="E58" s="8">
        <f>IFERROR(__xludf.DUMMYFUNCTION("""COMPUTED_VALUE"""),170057.2)</f>
        <v>170057.2</v>
      </c>
      <c r="F58" s="8">
        <f t="shared" si="1"/>
        <v>24258.18</v>
      </c>
      <c r="G58" s="9" t="str">
        <f>IFERROR(__xludf.DUMMYFUNCTION("""COMPUTED_VALUE"""),"Chop Cheong Bee Sdn Bhd")</f>
        <v>Chop Cheong Bee Sdn Bhd</v>
      </c>
      <c r="H58" s="7">
        <f>IFERROR(__xludf.DUMMYFUNCTION("""COMPUTED_VALUE"""),15000.0)</f>
        <v>15000</v>
      </c>
      <c r="I58" s="16">
        <f>IFERROR(__xludf.DUMMYFUNCTION("""COMPUTED_VALUE"""),2.13)</f>
        <v>2.13</v>
      </c>
      <c r="J58" s="16">
        <f>IFERROR(__xludf.DUMMYFUNCTION("""COMPUTED_VALUE"""),290.0)</f>
        <v>290</v>
      </c>
      <c r="K58" s="17">
        <f>IFERROR(__xludf.DUMMYFUNCTION("""COMPUTED_VALUE"""),0.019333333333333334)</f>
        <v>0.01933333333</v>
      </c>
      <c r="L58" s="17">
        <f>IFERROR(__xludf.DUMMYFUNCTION("""COMPUTED_VALUE"""),0.9806666666666667)</f>
        <v>0.9806666667</v>
      </c>
      <c r="M58" s="18">
        <f>IFERROR(__xludf.DUMMYFUNCTION("""COMPUTED_VALUE"""),35.0)</f>
        <v>35</v>
      </c>
      <c r="N58" s="18">
        <f>IFERROR(__xludf.DUMMYFUNCTION("""COMPUTED_VALUE"""),903.4833600000001)</f>
        <v>903.48336</v>
      </c>
      <c r="O58" s="9">
        <f>IFERROR(__xludf.DUMMYFUNCTION("""COMPUTED_VALUE"""),1.36)</f>
        <v>1.36</v>
      </c>
      <c r="P58" s="7">
        <f>IFERROR(__xludf.DUMMYFUNCTION("""COMPUTED_VALUE"""),14710.0)</f>
        <v>14710</v>
      </c>
      <c r="Q58" s="8">
        <f>IFERROR(__xludf.DUMMYFUNCTION("""COMPUTED_VALUE"""),33216.3)</f>
        <v>33216.3</v>
      </c>
      <c r="R58" s="8">
        <f>IFERROR(__xludf.DUMMYFUNCTION("""COMPUTED_VALUE"""),2.2580761386811696)</f>
        <v>2.258076139</v>
      </c>
      <c r="S58" s="8">
        <f>IFERROR(__xludf.DUMMYFUNCTION("""COMPUTED_VALUE"""),13.209747110808975)</f>
        <v>13.20974711</v>
      </c>
      <c r="T58" s="27">
        <f>IFERROR(__xludf.DUMMYFUNCTION("""COMPUTED_VALUE"""),11.560652617267166)</f>
        <v>11.56065262</v>
      </c>
      <c r="U58" s="27">
        <f>IFERROR(__xludf.DUMMYFUNCTION("""COMPUTED_VALUE"""),1.649094493541808)</f>
        <v>1.649094494</v>
      </c>
      <c r="V58" s="27">
        <f>IFERROR(__xludf.DUMMYFUNCTION("""COMPUTED_VALUE"""),5.8500007526425275)</f>
        <v>5.850000753</v>
      </c>
      <c r="W58" s="26">
        <f>IFERROR(__xludf.DUMMYFUNCTION("""COMPUTED_VALUE"""),5.119691235929348)</f>
        <v>5.119691236</v>
      </c>
      <c r="X58" s="26">
        <f>IFERROR(__xludf.DUMMYFUNCTION("""COMPUTED_VALUE"""),0.7303095167131799)</f>
        <v>0.7303095167</v>
      </c>
      <c r="Y58" s="20">
        <f>IFERROR(__xludf.DUMMYFUNCTION("""COMPUTED_VALUE"""),1.649094493541808)</f>
        <v>1.649094494</v>
      </c>
      <c r="Z58" s="11">
        <f>IFERROR(__xludf.DUMMYFUNCTION("""COMPUTED_VALUE"""),407.06250000000006)</f>
        <v>407.0625</v>
      </c>
      <c r="AA58" s="20" t="str">
        <f>IFERROR(__xludf.DUMMYFUNCTION("""COMPUTED_VALUE"""),"VERY GOOD")</f>
        <v>VERY GOOD</v>
      </c>
      <c r="AB58" s="10"/>
      <c r="AC58" s="10"/>
      <c r="AD58" s="10"/>
      <c r="AE58" s="10"/>
      <c r="AF58" s="10"/>
    </row>
    <row r="59">
      <c r="A59" s="13" t="s">
        <v>21</v>
      </c>
      <c r="B59" s="14">
        <v>2024.0</v>
      </c>
      <c r="C59" s="15">
        <v>45383.0</v>
      </c>
      <c r="D59" s="8">
        <f>IFERROR(__xludf.DUMMYFUNCTION("""COMPUTED_VALUE"""),175027.34)</f>
        <v>175027.34</v>
      </c>
      <c r="E59" s="8">
        <f>IFERROR(__xludf.DUMMYFUNCTION("""COMPUTED_VALUE"""),174753.54)</f>
        <v>174753.54</v>
      </c>
      <c r="F59" s="8">
        <f t="shared" si="1"/>
        <v>273.8</v>
      </c>
      <c r="G59" s="9" t="str">
        <f>IFERROR(__xludf.DUMMYFUNCTION("""COMPUTED_VALUE"""),"Chop Cheong Bee Sdn Bhd")</f>
        <v>Chop Cheong Bee Sdn Bhd</v>
      </c>
      <c r="H59" s="7">
        <f>IFERROR(__xludf.DUMMYFUNCTION("""COMPUTED_VALUE"""),15000.0)</f>
        <v>15000</v>
      </c>
      <c r="I59" s="16">
        <f>IFERROR(__xludf.DUMMYFUNCTION("""COMPUTED_VALUE"""),2.13)</f>
        <v>2.13</v>
      </c>
      <c r="J59" s="16">
        <f>IFERROR(__xludf.DUMMYFUNCTION("""COMPUTED_VALUE"""),420.0)</f>
        <v>420</v>
      </c>
      <c r="K59" s="17">
        <f>IFERROR(__xludf.DUMMYFUNCTION("""COMPUTED_VALUE"""),0.028)</f>
        <v>0.028</v>
      </c>
      <c r="L59" s="17">
        <f>IFERROR(__xludf.DUMMYFUNCTION("""COMPUTED_VALUE"""),0.972)</f>
        <v>0.972</v>
      </c>
      <c r="M59" s="18">
        <f>IFERROR(__xludf.DUMMYFUNCTION("""COMPUTED_VALUE"""),35.0)</f>
        <v>35</v>
      </c>
      <c r="N59" s="18">
        <f>IFERROR(__xludf.DUMMYFUNCTION("""COMPUTED_VALUE"""),909.54368)</f>
        <v>909.54368</v>
      </c>
      <c r="O59" s="9">
        <f>IFERROR(__xludf.DUMMYFUNCTION("""COMPUTED_VALUE"""),1.52)</f>
        <v>1.52</v>
      </c>
      <c r="P59" s="7">
        <f>IFERROR(__xludf.DUMMYFUNCTION("""COMPUTED_VALUE"""),14594.0)</f>
        <v>14594</v>
      </c>
      <c r="Q59" s="8">
        <f>IFERROR(__xludf.DUMMYFUNCTION("""COMPUTED_VALUE"""),29919.2)</f>
        <v>29919.2</v>
      </c>
      <c r="R59" s="8">
        <f>IFERROR(__xludf.DUMMYFUNCTION("""COMPUTED_VALUE"""),2.05)</f>
        <v>2.05</v>
      </c>
      <c r="S59" s="8">
        <f>IFERROR(__xludf.DUMMYFUNCTION("""COMPUTED_VALUE"""),11.99310264492257)</f>
        <v>11.99310264</v>
      </c>
      <c r="T59" s="27">
        <f>IFERROR(__xludf.DUMMYFUNCTION("""COMPUTED_VALUE"""),11.974341510209676)</f>
        <v>11.97434151</v>
      </c>
      <c r="U59" s="27">
        <f>IFERROR(__xludf.DUMMYFUNCTION("""COMPUTED_VALUE"""),0.018761134712894912)</f>
        <v>0.01876113471</v>
      </c>
      <c r="V59" s="27">
        <f>IFERROR(__xludf.DUMMYFUNCTION("""COMPUTED_VALUE"""),5.850000668467071)</f>
        <v>5.850000668</v>
      </c>
      <c r="W59" s="26">
        <f>IFERROR(__xludf.DUMMYFUNCTION("""COMPUTED_VALUE"""),5.8408493542608095)</f>
        <v>5.840849354</v>
      </c>
      <c r="X59" s="26">
        <f>IFERROR(__xludf.DUMMYFUNCTION("""COMPUTED_VALUE"""),0.00915131420626114)</f>
        <v>0.009151314206</v>
      </c>
      <c r="Y59" s="20">
        <f>IFERROR(__xludf.DUMMYFUNCTION("""COMPUTED_VALUE"""),0.018761134712894912)</f>
        <v>0.01876113471</v>
      </c>
      <c r="Z59" s="11">
        <f>IFERROR(__xludf.DUMMYFUNCTION("""COMPUTED_VALUE"""),328.04495614035085)</f>
        <v>328.0449561</v>
      </c>
      <c r="AA59" s="20" t="str">
        <f>IFERROR(__xludf.DUMMYFUNCTION("""COMPUTED_VALUE"""),"VERY BAD")</f>
        <v>VERY BAD</v>
      </c>
      <c r="AB59" s="10"/>
      <c r="AC59" s="10"/>
      <c r="AD59" s="10"/>
      <c r="AE59" s="10"/>
      <c r="AF59" s="10"/>
    </row>
    <row r="60">
      <c r="A60" s="13" t="s">
        <v>21</v>
      </c>
      <c r="B60" s="14">
        <v>2024.0</v>
      </c>
      <c r="C60" s="15">
        <v>45413.0</v>
      </c>
      <c r="D60" s="8">
        <f>IFERROR(__xludf.DUMMYFUNCTION("""COMPUTED_VALUE"""),182860.32)</f>
        <v>182860.32</v>
      </c>
      <c r="E60" s="8">
        <f>IFERROR(__xludf.DUMMYFUNCTION("""COMPUTED_VALUE"""),172512.69)</f>
        <v>172512.69</v>
      </c>
      <c r="F60" s="8">
        <f t="shared" si="1"/>
        <v>10347.63</v>
      </c>
      <c r="G60" s="9" t="str">
        <f>IFERROR(__xludf.DUMMYFUNCTION("""COMPUTED_VALUE"""),"Chop Cheong Bee Sdn Bhd")</f>
        <v>Chop Cheong Bee Sdn Bhd</v>
      </c>
      <c r="H60" s="7">
        <f>IFERROR(__xludf.DUMMYFUNCTION("""COMPUTED_VALUE"""),15000.0)</f>
        <v>15000</v>
      </c>
      <c r="I60" s="16">
        <f>IFERROR(__xludf.DUMMYFUNCTION("""COMPUTED_VALUE"""),2.13)</f>
        <v>2.13</v>
      </c>
      <c r="J60" s="16">
        <f>IFERROR(__xludf.DUMMYFUNCTION("""COMPUTED_VALUE"""),846.0)</f>
        <v>846</v>
      </c>
      <c r="K60" s="17">
        <f>IFERROR(__xludf.DUMMYFUNCTION("""COMPUTED_VALUE"""),0.0564)</f>
        <v>0.0564</v>
      </c>
      <c r="L60" s="17">
        <f>IFERROR(__xludf.DUMMYFUNCTION("""COMPUTED_VALUE"""),0.9436)</f>
        <v>0.9436</v>
      </c>
      <c r="M60" s="18">
        <f>IFERROR(__xludf.DUMMYFUNCTION("""COMPUTED_VALUE"""),35.0)</f>
        <v>35</v>
      </c>
      <c r="N60" s="18">
        <f>IFERROR(__xludf.DUMMYFUNCTION("""COMPUTED_VALUE"""),981.8444400000001)</f>
        <v>981.84444</v>
      </c>
      <c r="O60" s="9">
        <f>IFERROR(__xludf.DUMMYFUNCTION("""COMPUTED_VALUE"""),1.49)</f>
        <v>1.49</v>
      </c>
      <c r="P60" s="7">
        <f>IFERROR(__xludf.DUMMYFUNCTION("""COMPUTED_VALUE"""),14154.0)</f>
        <v>14154</v>
      </c>
      <c r="Q60" s="8">
        <f>IFERROR(__xludf.DUMMYFUNCTION("""COMPUTED_VALUE"""),32947.8)</f>
        <v>32947.8</v>
      </c>
      <c r="R60" s="8">
        <f>IFERROR(__xludf.DUMMYFUNCTION("""COMPUTED_VALUE"""),2.33)</f>
        <v>2.33</v>
      </c>
      <c r="S60" s="8">
        <f>IFERROR(__xludf.DUMMYFUNCTION("""COMPUTED_VALUE"""),12.919338702840188)</f>
        <v>12.9193387</v>
      </c>
      <c r="T60" s="27">
        <f>IFERROR(__xludf.DUMMYFUNCTION("""COMPUTED_VALUE"""),12.188264094955489)</f>
        <v>12.18826409</v>
      </c>
      <c r="U60" s="27">
        <f>IFERROR(__xludf.DUMMYFUNCTION("""COMPUTED_VALUE"""),0.7310746078846972)</f>
        <v>0.7310746079</v>
      </c>
      <c r="V60" s="27">
        <f>IFERROR(__xludf.DUMMYFUNCTION("""COMPUTED_VALUE"""),5.550000910531204)</f>
        <v>5.550000911</v>
      </c>
      <c r="W60" s="26">
        <f>IFERROR(__xludf.DUMMYFUNCTION("""COMPUTED_VALUE"""),5.235939577149309)</f>
        <v>5.235939577</v>
      </c>
      <c r="X60" s="26">
        <f>IFERROR(__xludf.DUMMYFUNCTION("""COMPUTED_VALUE"""),0.3140613333818951)</f>
        <v>0.3140613334</v>
      </c>
      <c r="Y60" s="20">
        <f>IFERROR(__xludf.DUMMYFUNCTION("""COMPUTED_VALUE"""),0.7310746078846972)</f>
        <v>0.7310746079</v>
      </c>
      <c r="Z60" s="11">
        <f>IFERROR(__xludf.DUMMYFUNCTION("""COMPUTED_VALUE"""),368.8906040268456)</f>
        <v>368.890604</v>
      </c>
      <c r="AA60" s="20" t="str">
        <f>IFERROR(__xludf.DUMMYFUNCTION("""COMPUTED_VALUE"""),"JUST AVERAGE")</f>
        <v>JUST AVERAGE</v>
      </c>
      <c r="AB60" s="10"/>
      <c r="AC60" s="10"/>
      <c r="AD60" s="10"/>
      <c r="AE60" s="10"/>
      <c r="AF60" s="10"/>
    </row>
    <row r="61">
      <c r="A61" s="13" t="s">
        <v>21</v>
      </c>
      <c r="B61" s="14">
        <v>2024.0</v>
      </c>
      <c r="C61" s="15">
        <v>45444.0</v>
      </c>
      <c r="D61" s="19">
        <f>IFERROR(__xludf.DUMMYFUNCTION("""COMPUTED_VALUE"""),174811.14)</f>
        <v>174811.14</v>
      </c>
      <c r="E61" s="19">
        <f>IFERROR(__xludf.DUMMYFUNCTION("""COMPUTED_VALUE"""),177734.33000000002)</f>
        <v>177734.33</v>
      </c>
      <c r="F61" s="8">
        <f t="shared" si="1"/>
        <v>-2923.19</v>
      </c>
      <c r="G61" s="10" t="str">
        <f>IFERROR(__xludf.DUMMYFUNCTION("""COMPUTED_VALUE"""),"Chop Cheong Bee Sdn Bhd")</f>
        <v>Chop Cheong Bee Sdn Bhd</v>
      </c>
      <c r="H61" s="7">
        <f>IFERROR(__xludf.DUMMYFUNCTION("""COMPUTED_VALUE"""),15000.0)</f>
        <v>15000</v>
      </c>
      <c r="I61" s="16">
        <f>IFERROR(__xludf.DUMMYFUNCTION("""COMPUTED_VALUE"""),2.13)</f>
        <v>2.13</v>
      </c>
      <c r="J61" s="16">
        <f>IFERROR(__xludf.DUMMYFUNCTION("""COMPUTED_VALUE"""),482.0)</f>
        <v>482</v>
      </c>
      <c r="K61" s="17">
        <f>IFERROR(__xludf.DUMMYFUNCTION("""COMPUTED_VALUE"""),0.03213333333333333)</f>
        <v>0.03213333333</v>
      </c>
      <c r="L61" s="17">
        <f>IFERROR(__xludf.DUMMYFUNCTION("""COMPUTED_VALUE"""),0.9678666666666667)</f>
        <v>0.9678666667</v>
      </c>
      <c r="M61" s="18">
        <f>IFERROR(__xludf.DUMMYFUNCTION("""COMPUTED_VALUE"""),35.0)</f>
        <v>35</v>
      </c>
      <c r="N61" s="18">
        <f>IFERROR(__xludf.DUMMYFUNCTION("""COMPUTED_VALUE"""),919.727)</f>
        <v>919.727</v>
      </c>
      <c r="O61" s="9">
        <f>IFERROR(__xludf.DUMMYFUNCTION("""COMPUTED_VALUE"""),1.46)</f>
        <v>1.46</v>
      </c>
      <c r="P61" s="11">
        <f>IFERROR(__xludf.DUMMYFUNCTION("""COMPUTED_VALUE"""),14518.0)</f>
        <v>14518</v>
      </c>
      <c r="Q61" s="19">
        <f>IFERROR(__xludf.DUMMYFUNCTION("""COMPUTED_VALUE"""),31497.5)</f>
        <v>31497.5</v>
      </c>
      <c r="R61" s="19">
        <f>IFERROR(__xludf.DUMMYFUNCTION("""COMPUTED_VALUE"""),2.17)</f>
        <v>2.17</v>
      </c>
      <c r="S61" s="8">
        <f>IFERROR(__xludf.DUMMYFUNCTION("""COMPUTED_VALUE"""),12.040993249758921)</f>
        <v>12.04099325</v>
      </c>
      <c r="T61" s="26">
        <f>IFERROR(__xludf.DUMMYFUNCTION("""COMPUTED_VALUE"""),12.242342609174818)</f>
        <v>12.24234261</v>
      </c>
      <c r="U61" s="26">
        <f>IFERROR(__xludf.DUMMYFUNCTION("""COMPUTED_VALUE"""),-0.20134935941589766)</f>
        <v>-0.2013493594</v>
      </c>
      <c r="V61" s="26">
        <f>IFERROR(__xludf.DUMMYFUNCTION("""COMPUTED_VALUE"""),5.550000476228273)</f>
        <v>5.550000476</v>
      </c>
      <c r="W61" s="26">
        <f>IFERROR(__xludf.DUMMYFUNCTION("""COMPUTED_VALUE"""),5.6428075244067)</f>
        <v>5.642807524</v>
      </c>
      <c r="X61" s="26">
        <f>IFERROR(__xludf.DUMMYFUNCTION("""COMPUTED_VALUE"""),-0.09280704817842711)</f>
        <v>-0.09280704818</v>
      </c>
      <c r="Y61" s="20">
        <f>IFERROR(__xludf.DUMMYFUNCTION("""COMPUTED_VALUE"""),-0.20134935941589766)</f>
        <v>-0.2013493594</v>
      </c>
      <c r="Z61" s="11">
        <f>IFERROR(__xludf.DUMMYFUNCTION("""COMPUTED_VALUE"""),359.63538812785384)</f>
        <v>359.6353881</v>
      </c>
      <c r="AA61" s="20" t="str">
        <f>IFERROR(__xludf.DUMMYFUNCTION("""COMPUTED_VALUE"""),"VERY BAD")</f>
        <v>VERY BAD</v>
      </c>
      <c r="AB61" s="10"/>
      <c r="AC61" s="10"/>
      <c r="AD61" s="10"/>
      <c r="AE61" s="10"/>
      <c r="AF61" s="10"/>
    </row>
    <row r="62">
      <c r="A62" s="13" t="s">
        <v>21</v>
      </c>
      <c r="B62" s="14">
        <v>2025.0</v>
      </c>
      <c r="C62" s="15">
        <v>45658.0</v>
      </c>
      <c r="D62" s="8">
        <f>IFERROR(__xludf.DUMMYFUNCTION("TRANSPOSE(IMPORTRANGE(""1Y1LY7dyNGLp0NieLSn-6awoDagvXjF5SwgLKBcwcayI"", ""2025!C12:F12""))"),181735.53)</f>
        <v>181735.53</v>
      </c>
      <c r="E62" s="8">
        <f>IFERROR(__xludf.DUMMYFUNCTION("TRANSPOSE(IMPORTRANGE(""1Y1LY7dyNGLp0NieLSn-6awoDagvXjF5SwgLKBcwcayI"", ""2025!C37:F37""))"),169998.33333333337)</f>
        <v>169998.3333</v>
      </c>
      <c r="F62" s="8">
        <f t="shared" si="1"/>
        <v>11737.19667</v>
      </c>
      <c r="G62" s="9" t="str">
        <f>IFERROR(__xludf.DUMMYFUNCTION("TRANSPOSE(IMPORTRANGE(""1Y1LY7dyNGLp0NieLSn-6awoDagvXjF5SwgLKBcwcayI"", ""2025!C45:F65""))"),"Chop Cheong Bee Sdn Bhd")</f>
        <v>Chop Cheong Bee Sdn Bhd</v>
      </c>
      <c r="H62" s="7">
        <f>IFERROR(__xludf.DUMMYFUNCTION("""COMPUTED_VALUE"""),15000.0)</f>
        <v>15000</v>
      </c>
      <c r="I62" s="16">
        <f>IFERROR(__xludf.DUMMYFUNCTION("""COMPUTED_VALUE"""),2.13)</f>
        <v>2.13</v>
      </c>
      <c r="J62" s="16">
        <f>IFERROR(__xludf.DUMMYFUNCTION("""COMPUTED_VALUE"""),568.0)</f>
        <v>568</v>
      </c>
      <c r="K62" s="17">
        <f>IFERROR(__xludf.DUMMYFUNCTION("""COMPUTED_VALUE"""),0.037866666666666667)</f>
        <v>0.03786666667</v>
      </c>
      <c r="L62" s="17">
        <f>IFERROR(__xludf.DUMMYFUNCTION("""COMPUTED_VALUE"""),0.9621333333333333)</f>
        <v>0.9621333333</v>
      </c>
      <c r="M62" s="18">
        <f>IFERROR(__xludf.DUMMYFUNCTION("""COMPUTED_VALUE"""),37.0)</f>
        <v>37</v>
      </c>
      <c r="N62" s="9">
        <f>IFERROR(__xludf.DUMMYFUNCTION("""COMPUTED_VALUE"""),947.0)</f>
        <v>947</v>
      </c>
      <c r="O62" s="16">
        <f>IFERROR(__xludf.DUMMYFUNCTION("""COMPUTED_VALUE"""),1.446016111093127)</f>
        <v>1.446016111</v>
      </c>
      <c r="P62" s="7">
        <f>IFERROR(__xludf.DUMMYFUNCTION("""COMPUTED_VALUE"""),14432.0)</f>
        <v>14432</v>
      </c>
      <c r="Q62" s="8">
        <f>IFERROR(__xludf.DUMMYFUNCTION("""COMPUTED_VALUE"""),32745.14)</f>
        <v>32745.14</v>
      </c>
      <c r="R62" s="8">
        <f>IFERROR(__xludf.DUMMYFUNCTION("""COMPUTED_VALUE"""),2.268925997782705)</f>
        <v>2.268925998</v>
      </c>
      <c r="S62" s="8">
        <f>IFERROR(__xludf.DUMMYFUNCTION("""COMPUTED_VALUE"""),12.59253949556541)</f>
        <v>12.5925395</v>
      </c>
      <c r="T62" s="27">
        <f>IFERROR(__xludf.DUMMYFUNCTION("""COMPUTED_VALUE"""),11.779263673318553)</f>
        <v>11.77926367</v>
      </c>
      <c r="U62" s="27">
        <f>IFERROR(__xludf.DUMMYFUNCTION("""COMPUTED_VALUE"""),0.8132758222468564)</f>
        <v>0.8132758222</v>
      </c>
      <c r="V62" s="27">
        <f>IFERROR(__xludf.DUMMYFUNCTION("""COMPUTED_VALUE"""),5.550000091616649)</f>
        <v>5.550000092</v>
      </c>
      <c r="W62" s="26">
        <f>IFERROR(__xludf.DUMMYFUNCTION("""COMPUTED_VALUE"""),5.191559215606755)</f>
        <v>5.191559216</v>
      </c>
      <c r="X62" s="26">
        <f>IFERROR(__xludf.DUMMYFUNCTION("""COMPUTED_VALUE"""),0.3584408760098938)</f>
        <v>0.358440876</v>
      </c>
      <c r="Y62" s="26">
        <f>IFERROR(__xludf.DUMMYFUNCTION("""COMPUTED_VALUE"""),0.813275822246856)</f>
        <v>0.8132758222</v>
      </c>
      <c r="Z62" s="11">
        <f>IFERROR(__xludf.DUMMYFUNCTION("""COMPUTED_VALUE"""),408.01932841294945)</f>
        <v>408.0193284</v>
      </c>
      <c r="AA62" s="10" t="str">
        <f>IFERROR(__xludf.DUMMYFUNCTION("""COMPUTED_VALUE"""),"JUST AVERAGE")</f>
        <v>JUST AVERAGE</v>
      </c>
      <c r="AB62" s="10"/>
      <c r="AC62" s="10"/>
      <c r="AD62" s="10"/>
      <c r="AE62" s="10"/>
      <c r="AF62" s="10"/>
    </row>
    <row r="63">
      <c r="A63" s="13" t="s">
        <v>21</v>
      </c>
      <c r="B63" s="14">
        <v>2025.0</v>
      </c>
      <c r="C63" s="15">
        <v>45689.0</v>
      </c>
      <c r="D63" s="8">
        <f>IFERROR(__xludf.DUMMYFUNCTION("""COMPUTED_VALUE"""),179977.65)</f>
        <v>179977.65</v>
      </c>
      <c r="E63" s="8">
        <f>IFERROR(__xludf.DUMMYFUNCTION("""COMPUTED_VALUE"""),165518.68333333332)</f>
        <v>165518.6833</v>
      </c>
      <c r="F63" s="8">
        <f t="shared" si="1"/>
        <v>14458.96667</v>
      </c>
      <c r="G63" s="9" t="str">
        <f>IFERROR(__xludf.DUMMYFUNCTION("""COMPUTED_VALUE"""),"Chop Cheong Bee Sdn Bhd")</f>
        <v>Chop Cheong Bee Sdn Bhd</v>
      </c>
      <c r="H63" s="7">
        <f>IFERROR(__xludf.DUMMYFUNCTION("""COMPUTED_VALUE"""),15000.0)</f>
        <v>15000</v>
      </c>
      <c r="I63" s="16">
        <f>IFERROR(__xludf.DUMMYFUNCTION("""COMPUTED_VALUE"""),2.13)</f>
        <v>2.13</v>
      </c>
      <c r="J63" s="16">
        <f>IFERROR(__xludf.DUMMYFUNCTION("""COMPUTED_VALUE"""),812.0)</f>
        <v>812</v>
      </c>
      <c r="K63" s="17">
        <f>IFERROR(__xludf.DUMMYFUNCTION("""COMPUTED_VALUE"""),0.05413333333333333)</f>
        <v>0.05413333333</v>
      </c>
      <c r="L63" s="17">
        <f>IFERROR(__xludf.DUMMYFUNCTION("""COMPUTED_VALUE"""),0.9458666666666666)</f>
        <v>0.9458666667</v>
      </c>
      <c r="M63" s="18">
        <f>IFERROR(__xludf.DUMMYFUNCTION("""COMPUTED_VALUE"""),37.0)</f>
        <v>37</v>
      </c>
      <c r="N63" s="9">
        <f>IFERROR(__xludf.DUMMYFUNCTION("""COMPUTED_VALUE"""),914.0)</f>
        <v>914</v>
      </c>
      <c r="O63" s="16">
        <f>IFERROR(__xludf.DUMMYFUNCTION("""COMPUTED_VALUE"""),1.4092585511465259)</f>
        <v>1.409258551</v>
      </c>
      <c r="P63" s="7">
        <f>IFERROR(__xludf.DUMMYFUNCTION("""COMPUTED_VALUE"""),14188.0)</f>
        <v>14188</v>
      </c>
      <c r="Q63" s="8">
        <f>IFERROR(__xludf.DUMMYFUNCTION("""COMPUTED_VALUE"""),32428.4)</f>
        <v>32428.4</v>
      </c>
      <c r="R63" s="8">
        <f>IFERROR(__xludf.DUMMYFUNCTION("""COMPUTED_VALUE"""),2.2856216521003665)</f>
        <v>2.285621652</v>
      </c>
      <c r="S63" s="8">
        <f>IFERROR(__xludf.DUMMYFUNCTION("""COMPUTED_VALUE"""),12.68520228361996)</f>
        <v>12.68520228</v>
      </c>
      <c r="T63" s="27">
        <f>IFERROR(__xludf.DUMMYFUNCTION("""COMPUTED_VALUE"""),11.666103984587913)</f>
        <v>11.66610398</v>
      </c>
      <c r="U63" s="27">
        <f>IFERROR(__xludf.DUMMYFUNCTION("""COMPUTED_VALUE"""),1.0190982990320467)</f>
        <v>1.019098299</v>
      </c>
      <c r="V63" s="27">
        <f>IFERROR(__xludf.DUMMYFUNCTION("""COMPUTED_VALUE"""),5.550000925115023)</f>
        <v>5.550000925</v>
      </c>
      <c r="W63" s="26">
        <f>IFERROR(__xludf.DUMMYFUNCTION("""COMPUTED_VALUE"""),5.104127349278204)</f>
        <v>5.104127349</v>
      </c>
      <c r="X63" s="26">
        <f>IFERROR(__xludf.DUMMYFUNCTION("""COMPUTED_VALUE"""),0.44587357583681886)</f>
        <v>0.4458735758</v>
      </c>
      <c r="Y63" s="26">
        <f>IFERROR(__xludf.DUMMYFUNCTION("""COMPUTED_VALUE"""),1.0190982990320465)</f>
        <v>1.019098299</v>
      </c>
      <c r="Z63" s="11">
        <f>IFERROR(__xludf.DUMMYFUNCTION("""COMPUTED_VALUE"""),414.6119922565892)</f>
        <v>414.6119923</v>
      </c>
      <c r="AA63" s="10" t="str">
        <f>IFERROR(__xludf.DUMMYFUNCTION("""COMPUTED_VALUE"""),"VERY GOOD")</f>
        <v>VERY GOOD</v>
      </c>
      <c r="AB63" s="10"/>
      <c r="AC63" s="10"/>
      <c r="AD63" s="10"/>
      <c r="AE63" s="10"/>
      <c r="AF63" s="10"/>
    </row>
    <row r="64">
      <c r="A64" s="13" t="s">
        <v>21</v>
      </c>
      <c r="B64" s="14">
        <v>2025.0</v>
      </c>
      <c r="C64" s="15">
        <v>45717.0</v>
      </c>
      <c r="D64" s="19">
        <f>IFERROR(__xludf.DUMMYFUNCTION("""COMPUTED_VALUE"""),175645.31)</f>
        <v>175645.31</v>
      </c>
      <c r="E64" s="19">
        <f>IFERROR(__xludf.DUMMYFUNCTION("""COMPUTED_VALUE"""),163074.68333333335)</f>
        <v>163074.6833</v>
      </c>
      <c r="F64" s="8">
        <f t="shared" si="1"/>
        <v>12570.62667</v>
      </c>
      <c r="G64" s="10" t="str">
        <f>IFERROR(__xludf.DUMMYFUNCTION("""COMPUTED_VALUE"""),"Chop Cheong Bee Sdn Bhd")</f>
        <v>Chop Cheong Bee Sdn Bhd</v>
      </c>
      <c r="H64" s="11">
        <f>IFERROR(__xludf.DUMMYFUNCTION("""COMPUTED_VALUE"""),15000.0)</f>
        <v>15000</v>
      </c>
      <c r="I64" s="19">
        <f>IFERROR(__xludf.DUMMYFUNCTION("""COMPUTED_VALUE"""),2.13)</f>
        <v>2.13</v>
      </c>
      <c r="J64" s="10">
        <f>IFERROR(__xludf.DUMMYFUNCTION("""COMPUTED_VALUE"""),667.0)</f>
        <v>667</v>
      </c>
      <c r="K64" s="17">
        <f>IFERROR(__xludf.DUMMYFUNCTION("""COMPUTED_VALUE"""),0.04446666666666667)</f>
        <v>0.04446666667</v>
      </c>
      <c r="L64" s="28">
        <f>IFERROR(__xludf.DUMMYFUNCTION("""COMPUTED_VALUE"""),0.9555333333333333)</f>
        <v>0.9555333333</v>
      </c>
      <c r="M64" s="29">
        <f>IFERROR(__xludf.DUMMYFUNCTION("""COMPUTED_VALUE"""),37.0)</f>
        <v>37</v>
      </c>
      <c r="N64" s="10">
        <f>IFERROR(__xludf.DUMMYFUNCTION("""COMPUTED_VALUE"""),901.0)</f>
        <v>901</v>
      </c>
      <c r="O64" s="20">
        <f>IFERROR(__xludf.DUMMYFUNCTION("""COMPUTED_VALUE"""),1.4234796731526362)</f>
        <v>1.423479673</v>
      </c>
      <c r="P64" s="11">
        <f>IFERROR(__xludf.DUMMYFUNCTION("""COMPUTED_VALUE"""),14333.0)</f>
        <v>14333</v>
      </c>
      <c r="Q64" s="19">
        <f>IFERROR(__xludf.DUMMYFUNCTION("""COMPUTED_VALUE"""),31647.8)</f>
        <v>31647.8</v>
      </c>
      <c r="R64" s="19">
        <f>IFERROR(__xludf.DUMMYFUNCTION("""COMPUTED_VALUE"""),2.2080373962185167)</f>
        <v>2.208037396</v>
      </c>
      <c r="S64" s="8">
        <f>IFERROR(__xludf.DUMMYFUNCTION("""COMPUTED_VALUE"""),12.254608944394056)</f>
        <v>12.25460894</v>
      </c>
      <c r="T64" s="27">
        <f>IFERROR(__xludf.DUMMYFUNCTION("""COMPUTED_VALUE"""),11.377568082978675)</f>
        <v>11.37756808</v>
      </c>
      <c r="U64" s="27">
        <f>IFERROR(__xludf.DUMMYFUNCTION("""COMPUTED_VALUE"""),0.8770408614153808)</f>
        <v>0.8770408614</v>
      </c>
      <c r="V64" s="27">
        <f>IFERROR(__xludf.DUMMYFUNCTION("""COMPUTED_VALUE"""),5.55000063195546)</f>
        <v>5.550000632</v>
      </c>
      <c r="W64" s="26">
        <f>IFERROR(__xludf.DUMMYFUNCTION("""COMPUTED_VALUE"""),5.152796824213163)</f>
        <v>5.152796824</v>
      </c>
      <c r="X64" s="26">
        <f>IFERROR(__xludf.DUMMYFUNCTION("""COMPUTED_VALUE"""),0.39720380774229724)</f>
        <v>0.3972038077</v>
      </c>
      <c r="Y64" s="26">
        <f>IFERROR(__xludf.DUMMYFUNCTION("""COMPUTED_VALUE"""),0.8770408614153805)</f>
        <v>0.8770408614</v>
      </c>
      <c r="Z64" s="11">
        <f>IFERROR(__xludf.DUMMYFUNCTION("""COMPUTED_VALUE"""),400.58923312035677)</f>
        <v>400.5892331</v>
      </c>
      <c r="AA64" s="10" t="str">
        <f>IFERROR(__xludf.DUMMYFUNCTION("""COMPUTED_VALUE"""),"JUST AVERAGE")</f>
        <v>JUST AVERAGE</v>
      </c>
      <c r="AB64" s="10"/>
      <c r="AC64" s="10"/>
      <c r="AD64" s="10"/>
      <c r="AE64" s="10"/>
      <c r="AF64" s="10"/>
    </row>
    <row r="65">
      <c r="A65" s="13" t="s">
        <v>21</v>
      </c>
      <c r="B65" s="14">
        <v>2025.0</v>
      </c>
      <c r="C65" s="15">
        <v>45748.0</v>
      </c>
      <c r="D65" s="19">
        <f>IFERROR(__xludf.DUMMYFUNCTION("""COMPUTED_VALUE"""),176469.11)</f>
        <v>176469.11</v>
      </c>
      <c r="E65" s="19">
        <f>IFERROR(__xludf.DUMMYFUNCTION("""COMPUTED_VALUE"""),169686.28333333335)</f>
        <v>169686.2833</v>
      </c>
      <c r="F65" s="8">
        <f t="shared" si="1"/>
        <v>6782.826667</v>
      </c>
      <c r="G65" s="10" t="str">
        <f>IFERROR(__xludf.DUMMYFUNCTION("""COMPUTED_VALUE"""),"Chop Cheong Bee Sdn Bhd")</f>
        <v>Chop Cheong Bee Sdn Bhd</v>
      </c>
      <c r="H65" s="11">
        <f>IFERROR(__xludf.DUMMYFUNCTION("""COMPUTED_VALUE"""),15000.0)</f>
        <v>15000</v>
      </c>
      <c r="I65" s="19">
        <f>IFERROR(__xludf.DUMMYFUNCTION("""COMPUTED_VALUE"""),2.13)</f>
        <v>2.13</v>
      </c>
      <c r="J65" s="10">
        <f>IFERROR(__xludf.DUMMYFUNCTION("""COMPUTED_VALUE"""),730.0)</f>
        <v>730</v>
      </c>
      <c r="K65" s="17">
        <f>IFERROR(__xludf.DUMMYFUNCTION("""COMPUTED_VALUE"""),0.048666666666666664)</f>
        <v>0.04866666667</v>
      </c>
      <c r="L65" s="28">
        <f>IFERROR(__xludf.DUMMYFUNCTION("""COMPUTED_VALUE"""),0.9513333333333334)</f>
        <v>0.9513333333</v>
      </c>
      <c r="M65" s="29">
        <f>IFERROR(__xludf.DUMMYFUNCTION("""COMPUTED_VALUE"""),37.0)</f>
        <v>37</v>
      </c>
      <c r="N65" s="10">
        <f>IFERROR(__xludf.DUMMYFUNCTION("""COMPUTED_VALUE"""),939.0)</f>
        <v>939</v>
      </c>
      <c r="O65" s="20">
        <f>IFERROR(__xludf.DUMMYFUNCTION("""COMPUTED_VALUE"""),1.3967743586143044)</f>
        <v>1.396774359</v>
      </c>
      <c r="P65" s="11">
        <f>IFERROR(__xludf.DUMMYFUNCTION("""COMPUTED_VALUE"""),14270.0)</f>
        <v>14270</v>
      </c>
      <c r="Q65" s="19">
        <f>IFERROR(__xludf.DUMMYFUNCTION("""COMPUTED_VALUE"""),33613.16)</f>
        <v>33613.16</v>
      </c>
      <c r="R65" s="19">
        <f>IFERROR(__xludf.DUMMYFUNCTION("""COMPUTED_VALUE"""),2.355512263489839)</f>
        <v>2.355512263</v>
      </c>
      <c r="S65" s="8">
        <f>IFERROR(__xludf.DUMMYFUNCTION("""COMPUTED_VALUE"""),12.366440784863348)</f>
        <v>12.36644078</v>
      </c>
      <c r="T65" s="26">
        <f>IFERROR(__xludf.DUMMYFUNCTION("""COMPUTED_VALUE"""),11.89112006540528)</f>
        <v>11.89112007</v>
      </c>
      <c r="U65" s="26">
        <f>IFERROR(__xludf.DUMMYFUNCTION("""COMPUTED_VALUE"""),0.4753207194580682)</f>
        <v>0.4753207195</v>
      </c>
      <c r="V65" s="26">
        <f>IFERROR(__xludf.DUMMYFUNCTION("""COMPUTED_VALUE"""),5.250000595005051)</f>
        <v>5.250000595</v>
      </c>
      <c r="W65" s="26">
        <f>IFERROR(__xludf.DUMMYFUNCTION("""COMPUTED_VALUE"""),5.048209788467771)</f>
        <v>5.048209788</v>
      </c>
      <c r="X65" s="26">
        <f>IFERROR(__xludf.DUMMYFUNCTION("""COMPUTED_VALUE"""),0.20179080653727954)</f>
        <v>0.2017908065</v>
      </c>
      <c r="Y65" s="26">
        <f>IFERROR(__xludf.DUMMYFUNCTION("""COMPUTED_VALUE"""),0.4753207194580681)</f>
        <v>0.4753207195</v>
      </c>
      <c r="Z65" s="30">
        <f>IFERROR(__xludf.DUMMYFUNCTION("""COMPUTED_VALUE"""),433.60083093403955)</f>
        <v>433.6008309</v>
      </c>
      <c r="AA65" s="10" t="str">
        <f>IFERROR(__xludf.DUMMYFUNCTION("""COMPUTED_VALUE"""),"VERY BAD")</f>
        <v>VERY BAD</v>
      </c>
      <c r="AB65" s="10"/>
      <c r="AC65" s="10"/>
      <c r="AD65" s="10"/>
      <c r="AE65" s="10"/>
      <c r="AF65" s="10"/>
    </row>
    <row r="66">
      <c r="A66" s="10"/>
      <c r="B66" s="10"/>
      <c r="C66" s="10"/>
      <c r="D66" s="19"/>
      <c r="E66" s="19"/>
      <c r="F66" s="19"/>
      <c r="G66" s="10"/>
      <c r="H66" s="11"/>
      <c r="I66" s="10"/>
      <c r="J66" s="10"/>
      <c r="K66" s="28"/>
      <c r="L66" s="28"/>
      <c r="M66" s="29"/>
      <c r="N66" s="10"/>
      <c r="O66" s="10"/>
      <c r="P66" s="10"/>
      <c r="Q66" s="10"/>
      <c r="R66" s="10"/>
      <c r="S66" s="10"/>
      <c r="T66" s="9"/>
      <c r="U66" s="9"/>
      <c r="V66" s="9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0"/>
      <c r="B67" s="10"/>
      <c r="C67" s="10"/>
      <c r="D67" s="19"/>
      <c r="E67" s="19"/>
      <c r="F67" s="19"/>
      <c r="G67" s="10"/>
      <c r="H67" s="11"/>
      <c r="I67" s="10"/>
      <c r="J67" s="10"/>
      <c r="K67" s="28"/>
      <c r="L67" s="28"/>
      <c r="M67" s="29"/>
      <c r="N67" s="10"/>
      <c r="O67" s="10"/>
      <c r="P67" s="10"/>
      <c r="Q67" s="10"/>
      <c r="R67" s="10"/>
      <c r="S67" s="10"/>
      <c r="T67" s="7"/>
      <c r="U67" s="7"/>
      <c r="V67" s="7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0"/>
      <c r="B68" s="10"/>
      <c r="C68" s="10"/>
      <c r="D68" s="19"/>
      <c r="E68" s="19"/>
      <c r="F68" s="19"/>
      <c r="G68" s="10"/>
      <c r="H68" s="11"/>
      <c r="I68" s="10"/>
      <c r="J68" s="10"/>
      <c r="K68" s="28"/>
      <c r="L68" s="28"/>
      <c r="M68" s="29"/>
      <c r="N68" s="10"/>
      <c r="O68" s="10"/>
      <c r="P68" s="10"/>
      <c r="Q68" s="10"/>
      <c r="R68" s="10"/>
      <c r="S68" s="10"/>
      <c r="T68" s="8"/>
      <c r="U68" s="8"/>
      <c r="V68" s="8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0"/>
      <c r="B69" s="10"/>
      <c r="C69" s="10"/>
      <c r="D69" s="19"/>
      <c r="E69" s="19"/>
      <c r="F69" s="19"/>
      <c r="G69" s="10"/>
      <c r="H69" s="11"/>
      <c r="I69" s="10"/>
      <c r="J69" s="10"/>
      <c r="K69" s="28"/>
      <c r="L69" s="28"/>
      <c r="M69" s="29"/>
      <c r="N69" s="10"/>
      <c r="O69" s="10"/>
      <c r="P69" s="10"/>
      <c r="Q69" s="10"/>
      <c r="R69" s="10"/>
      <c r="S69" s="10"/>
      <c r="T69" s="9"/>
      <c r="U69" s="9"/>
      <c r="V69" s="9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0"/>
      <c r="B70" s="10"/>
      <c r="C70" s="10"/>
      <c r="D70" s="19"/>
      <c r="E70" s="19"/>
      <c r="F70" s="19"/>
      <c r="G70" s="10"/>
      <c r="H70" s="11"/>
      <c r="I70" s="10"/>
      <c r="J70" s="10"/>
      <c r="K70" s="28"/>
      <c r="L70" s="28"/>
      <c r="M70" s="2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10"/>
      <c r="B71" s="10"/>
      <c r="C71" s="10"/>
      <c r="D71" s="19"/>
      <c r="E71" s="19"/>
      <c r="F71" s="19"/>
      <c r="G71" s="10"/>
      <c r="H71" s="11"/>
      <c r="I71" s="10"/>
      <c r="J71" s="10"/>
      <c r="K71" s="28"/>
      <c r="L71" s="28"/>
      <c r="M71" s="29"/>
      <c r="N71" s="10"/>
      <c r="O71" s="10"/>
      <c r="P71" s="10"/>
      <c r="Q71" s="10"/>
      <c r="R71" s="10"/>
      <c r="S71" s="10"/>
      <c r="T71" s="9"/>
      <c r="U71" s="9"/>
      <c r="V71" s="9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0"/>
      <c r="B72" s="10"/>
      <c r="C72" s="10"/>
      <c r="D72" s="19"/>
      <c r="E72" s="19"/>
      <c r="F72" s="19"/>
      <c r="G72" s="10"/>
      <c r="H72" s="11"/>
      <c r="I72" s="10"/>
      <c r="J72" s="10"/>
      <c r="K72" s="28"/>
      <c r="L72" s="28"/>
      <c r="M72" s="29"/>
      <c r="N72" s="10"/>
      <c r="O72" s="10"/>
      <c r="P72" s="10"/>
      <c r="Q72" s="10"/>
      <c r="R72" s="10"/>
      <c r="S72" s="10"/>
      <c r="T72" s="9"/>
      <c r="U72" s="9"/>
      <c r="V72" s="9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10"/>
      <c r="B73" s="10"/>
      <c r="C73" s="10"/>
      <c r="D73" s="19"/>
      <c r="E73" s="19"/>
      <c r="F73" s="19"/>
      <c r="G73" s="10"/>
      <c r="H73" s="11"/>
      <c r="I73" s="10"/>
      <c r="J73" s="10"/>
      <c r="K73" s="28"/>
      <c r="L73" s="28"/>
      <c r="M73" s="29"/>
      <c r="N73" s="10"/>
      <c r="O73" s="10"/>
      <c r="P73" s="10"/>
      <c r="Q73" s="10"/>
      <c r="R73" s="10"/>
      <c r="S73" s="10"/>
      <c r="T73" s="9"/>
      <c r="U73" s="9"/>
      <c r="V73" s="9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10"/>
      <c r="B74" s="10"/>
      <c r="C74" s="10"/>
      <c r="D74" s="19"/>
      <c r="E74" s="19"/>
      <c r="F74" s="19"/>
      <c r="G74" s="10"/>
      <c r="H74" s="11"/>
      <c r="I74" s="10"/>
      <c r="J74" s="10"/>
      <c r="K74" s="28"/>
      <c r="L74" s="28"/>
      <c r="M74" s="29"/>
      <c r="N74" s="10"/>
      <c r="O74" s="10"/>
      <c r="P74" s="10"/>
      <c r="Q74" s="10"/>
      <c r="R74" s="10"/>
      <c r="S74" s="10"/>
      <c r="T74" s="7"/>
      <c r="U74" s="7"/>
      <c r="V74" s="7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10"/>
      <c r="B75" s="10"/>
      <c r="C75" s="10"/>
      <c r="D75" s="19"/>
      <c r="E75" s="19"/>
      <c r="F75" s="19"/>
      <c r="G75" s="10"/>
      <c r="H75" s="11"/>
      <c r="I75" s="10"/>
      <c r="J75" s="10"/>
      <c r="K75" s="28"/>
      <c r="L75" s="28"/>
      <c r="M75" s="29"/>
      <c r="N75" s="10"/>
      <c r="O75" s="10"/>
      <c r="P75" s="10"/>
      <c r="Q75" s="10"/>
      <c r="R75" s="10"/>
      <c r="S75" s="10"/>
      <c r="T75" s="8"/>
      <c r="U75" s="8"/>
      <c r="V75" s="8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10"/>
      <c r="B76" s="10"/>
      <c r="C76" s="10"/>
      <c r="D76" s="19"/>
      <c r="E76" s="19"/>
      <c r="F76" s="19"/>
      <c r="G76" s="10"/>
      <c r="H76" s="11"/>
      <c r="I76" s="10"/>
      <c r="J76" s="10"/>
      <c r="K76" s="10"/>
      <c r="L76" s="10"/>
      <c r="M76" s="29"/>
      <c r="N76" s="10"/>
      <c r="O76" s="10"/>
      <c r="P76" s="10"/>
      <c r="Q76" s="10"/>
      <c r="R76" s="10"/>
      <c r="S76" s="10"/>
      <c r="T76" s="9"/>
      <c r="U76" s="9"/>
      <c r="V76" s="9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10"/>
      <c r="B77" s="10"/>
      <c r="C77" s="10"/>
      <c r="D77" s="19"/>
      <c r="E77" s="19"/>
      <c r="F77" s="19"/>
      <c r="G77" s="10"/>
      <c r="H77" s="11"/>
      <c r="I77" s="10"/>
      <c r="J77" s="10"/>
      <c r="K77" s="10"/>
      <c r="L77" s="10"/>
      <c r="M77" s="29"/>
      <c r="N77" s="10"/>
      <c r="O77" s="10"/>
      <c r="P77" s="10"/>
      <c r="Q77" s="10"/>
      <c r="R77" s="10"/>
      <c r="S77" s="10"/>
      <c r="T77" s="9"/>
      <c r="U77" s="9"/>
      <c r="V77" s="9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0"/>
      <c r="B78" s="10"/>
      <c r="C78" s="10"/>
      <c r="D78" s="19"/>
      <c r="E78" s="19"/>
      <c r="F78" s="19"/>
      <c r="G78" s="10"/>
      <c r="H78" s="11"/>
      <c r="I78" s="10"/>
      <c r="J78" s="10"/>
      <c r="K78" s="10"/>
      <c r="L78" s="10"/>
      <c r="M78" s="29"/>
      <c r="N78" s="10"/>
      <c r="O78" s="10"/>
      <c r="P78" s="10"/>
      <c r="Q78" s="10"/>
      <c r="R78" s="10"/>
      <c r="S78" s="10"/>
      <c r="T78" s="9"/>
      <c r="U78" s="9"/>
      <c r="V78" s="9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0"/>
      <c r="B79" s="10"/>
      <c r="C79" s="10"/>
      <c r="D79" s="19"/>
      <c r="E79" s="19"/>
      <c r="F79" s="19"/>
      <c r="G79" s="10"/>
      <c r="H79" s="1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9"/>
      <c r="U79" s="9"/>
      <c r="V79" s="9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0"/>
      <c r="B80" s="10"/>
      <c r="C80" s="10"/>
      <c r="D80" s="19"/>
      <c r="E80" s="19"/>
      <c r="F80" s="19"/>
      <c r="G80" s="10"/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9"/>
      <c r="U80" s="9"/>
      <c r="V80" s="9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10"/>
      <c r="B81" s="10"/>
      <c r="C81" s="10"/>
      <c r="D81" s="19"/>
      <c r="E81" s="19"/>
      <c r="F81" s="19"/>
      <c r="G81" s="10"/>
      <c r="H81" s="1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9"/>
      <c r="U81" s="9"/>
      <c r="V81" s="9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10"/>
      <c r="B82" s="10"/>
      <c r="C82" s="10"/>
      <c r="D82" s="19"/>
      <c r="E82" s="19"/>
      <c r="F82" s="19"/>
      <c r="G82" s="10"/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9"/>
      <c r="U82" s="9"/>
      <c r="V82" s="9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10"/>
      <c r="B83" s="10"/>
      <c r="C83" s="10"/>
      <c r="D83" s="19"/>
      <c r="E83" s="19"/>
      <c r="F83" s="19"/>
      <c r="G83" s="10"/>
      <c r="H83" s="1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9"/>
      <c r="U83" s="9"/>
      <c r="V83" s="9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10"/>
      <c r="B84" s="10"/>
      <c r="C84" s="10"/>
      <c r="D84" s="19"/>
      <c r="E84" s="19"/>
      <c r="F84" s="19"/>
      <c r="G84" s="10"/>
      <c r="H84" s="1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9"/>
      <c r="U84" s="9"/>
      <c r="V84" s="9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10"/>
      <c r="B85" s="10"/>
      <c r="C85" s="10"/>
      <c r="D85" s="19"/>
      <c r="E85" s="19"/>
      <c r="F85" s="19"/>
      <c r="G85" s="10"/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9"/>
      <c r="U85" s="9"/>
      <c r="V85" s="9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10"/>
      <c r="B86" s="10"/>
      <c r="C86" s="10"/>
      <c r="D86" s="19"/>
      <c r="E86" s="19"/>
      <c r="F86" s="19"/>
      <c r="G86" s="10"/>
      <c r="H86" s="1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9"/>
      <c r="U86" s="9"/>
      <c r="V86" s="9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10"/>
      <c r="B87" s="10"/>
      <c r="C87" s="10"/>
      <c r="D87" s="19"/>
      <c r="E87" s="19"/>
      <c r="F87" s="19"/>
      <c r="G87" s="10"/>
      <c r="H87" s="1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9"/>
      <c r="U87" s="9"/>
      <c r="V87" s="9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10"/>
      <c r="B88" s="10"/>
      <c r="C88" s="10"/>
      <c r="D88" s="19"/>
      <c r="E88" s="19"/>
      <c r="F88" s="10"/>
      <c r="G88" s="10"/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10"/>
      <c r="B89" s="10"/>
      <c r="C89" s="10"/>
      <c r="D89" s="19"/>
      <c r="E89" s="19"/>
      <c r="F89" s="10"/>
      <c r="G89" s="10"/>
      <c r="H89" s="1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10"/>
      <c r="B90" s="10"/>
      <c r="C90" s="10"/>
      <c r="D90" s="19"/>
      <c r="E90" s="19"/>
      <c r="F90" s="10"/>
      <c r="G90" s="10"/>
      <c r="H90" s="1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10"/>
      <c r="B91" s="10"/>
      <c r="C91" s="10"/>
      <c r="D91" s="19"/>
      <c r="E91" s="19"/>
      <c r="F91" s="10"/>
      <c r="G91" s="10"/>
      <c r="H91" s="1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10"/>
      <c r="B92" s="10"/>
      <c r="C92" s="10"/>
      <c r="D92" s="19"/>
      <c r="E92" s="19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10"/>
      <c r="B111" s="10"/>
      <c r="C111" s="10"/>
      <c r="D111" s="10"/>
      <c r="E111" s="10"/>
      <c r="F111" s="10"/>
      <c r="G111" s="10"/>
      <c r="H111" s="9"/>
      <c r="I111" s="9"/>
      <c r="J111" s="9"/>
      <c r="K111" s="9"/>
      <c r="L111" s="9"/>
      <c r="M111" s="9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10"/>
      <c r="B112" s="10"/>
      <c r="C112" s="10"/>
      <c r="D112" s="10"/>
      <c r="E112" s="10"/>
      <c r="F112" s="10"/>
      <c r="G112" s="10"/>
      <c r="H112" s="9"/>
      <c r="I112" s="9"/>
      <c r="J112" s="9"/>
      <c r="K112" s="9"/>
      <c r="L112" s="9"/>
      <c r="M112" s="9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10"/>
      <c r="B113" s="10"/>
      <c r="C113" s="10"/>
      <c r="D113" s="10"/>
      <c r="E113" s="10"/>
      <c r="F113" s="10"/>
      <c r="G113" s="10"/>
      <c r="H113" s="9"/>
      <c r="I113" s="9"/>
      <c r="J113" s="9"/>
      <c r="K113" s="9"/>
      <c r="L113" s="9"/>
      <c r="M113" s="9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10"/>
      <c r="B114" s="10"/>
      <c r="C114" s="10"/>
      <c r="D114" s="10"/>
      <c r="E114" s="10"/>
      <c r="F114" s="10"/>
      <c r="G114" s="10"/>
      <c r="H114" s="9"/>
      <c r="I114" s="9"/>
      <c r="J114" s="9"/>
      <c r="K114" s="9"/>
      <c r="L114" s="9"/>
      <c r="M114" s="9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10"/>
      <c r="B115" s="10"/>
      <c r="C115" s="10"/>
      <c r="D115" s="10"/>
      <c r="E115" s="10"/>
      <c r="F115" s="10"/>
      <c r="G115" s="10"/>
      <c r="H115" s="9"/>
      <c r="I115" s="7"/>
      <c r="J115" s="7"/>
      <c r="K115" s="7"/>
      <c r="L115" s="7"/>
      <c r="M115" s="7"/>
      <c r="N115" s="7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10"/>
      <c r="B116" s="10"/>
      <c r="C116" s="10"/>
      <c r="D116" s="10"/>
      <c r="E116" s="10"/>
      <c r="F116" s="10"/>
      <c r="G116" s="10"/>
      <c r="H116" s="9"/>
      <c r="I116" s="8"/>
      <c r="J116" s="8"/>
      <c r="K116" s="8"/>
      <c r="L116" s="8"/>
      <c r="M116" s="8"/>
      <c r="N116" s="8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10"/>
      <c r="B117" s="10"/>
      <c r="C117" s="10"/>
      <c r="D117" s="10"/>
      <c r="E117" s="10"/>
      <c r="F117" s="10"/>
      <c r="G117" s="10"/>
      <c r="H117" s="9"/>
      <c r="I117" s="9"/>
      <c r="J117" s="9"/>
      <c r="K117" s="9"/>
      <c r="L117" s="9"/>
      <c r="M117" s="9"/>
      <c r="N117" s="9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10"/>
      <c r="B119" s="10"/>
      <c r="C119" s="10"/>
      <c r="D119" s="10"/>
      <c r="E119" s="10"/>
      <c r="F119" s="10"/>
      <c r="G119" s="10"/>
      <c r="H119" s="9"/>
      <c r="I119" s="9"/>
      <c r="J119" s="9"/>
      <c r="K119" s="9"/>
      <c r="L119" s="9"/>
      <c r="M119" s="9"/>
      <c r="N119" s="9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10"/>
      <c r="B120" s="10"/>
      <c r="C120" s="10"/>
      <c r="D120" s="10"/>
      <c r="E120" s="10"/>
      <c r="F120" s="10"/>
      <c r="G120" s="10"/>
      <c r="H120" s="9"/>
      <c r="I120" s="9"/>
      <c r="J120" s="9"/>
      <c r="K120" s="9"/>
      <c r="L120" s="9"/>
      <c r="M120" s="9"/>
      <c r="N120" s="9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10"/>
      <c r="B121" s="10"/>
      <c r="C121" s="10"/>
      <c r="D121" s="10"/>
      <c r="E121" s="10"/>
      <c r="F121" s="10"/>
      <c r="G121" s="10"/>
      <c r="H121" s="9"/>
      <c r="I121" s="9"/>
      <c r="J121" s="9"/>
      <c r="K121" s="9"/>
      <c r="L121" s="9"/>
      <c r="M121" s="9"/>
      <c r="N121" s="9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10"/>
      <c r="B123" s="10"/>
      <c r="C123" s="10"/>
      <c r="D123" s="10"/>
      <c r="E123" s="10"/>
      <c r="F123" s="10"/>
      <c r="G123" s="10"/>
      <c r="H123" s="9"/>
      <c r="I123" s="9"/>
      <c r="J123" s="9"/>
      <c r="K123" s="9"/>
      <c r="L123" s="9"/>
      <c r="M123" s="9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10"/>
      <c r="B124" s="10"/>
      <c r="C124" s="10"/>
      <c r="D124" s="10"/>
      <c r="E124" s="10"/>
      <c r="F124" s="10"/>
      <c r="G124" s="10"/>
      <c r="H124" s="9"/>
      <c r="I124" s="9"/>
      <c r="J124" s="9"/>
      <c r="K124" s="9"/>
      <c r="L124" s="9"/>
      <c r="M124" s="9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10"/>
      <c r="B125" s="10"/>
      <c r="C125" s="10"/>
      <c r="D125" s="10"/>
      <c r="E125" s="10"/>
      <c r="F125" s="10"/>
      <c r="G125" s="10"/>
      <c r="H125" s="9"/>
      <c r="I125" s="9"/>
      <c r="J125" s="9"/>
      <c r="K125" s="9"/>
      <c r="L125" s="9"/>
      <c r="M125" s="9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10"/>
      <c r="B126" s="10"/>
      <c r="C126" s="10"/>
      <c r="D126" s="10"/>
      <c r="E126" s="10"/>
      <c r="F126" s="10"/>
      <c r="G126" s="10"/>
      <c r="H126" s="9"/>
      <c r="I126" s="9"/>
      <c r="J126" s="9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10"/>
      <c r="B127" s="10"/>
      <c r="C127" s="10"/>
      <c r="D127" s="10"/>
      <c r="E127" s="10"/>
      <c r="F127" s="10"/>
      <c r="G127" s="10"/>
      <c r="H127" s="9"/>
      <c r="I127" s="9"/>
      <c r="J127" s="9"/>
      <c r="K127" s="9"/>
      <c r="L127" s="9"/>
      <c r="M127" s="9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10"/>
      <c r="B128" s="10"/>
      <c r="C128" s="10"/>
      <c r="D128" s="10"/>
      <c r="E128" s="10"/>
      <c r="F128" s="10"/>
      <c r="G128" s="10"/>
      <c r="H128" s="9"/>
      <c r="I128" s="9"/>
      <c r="J128" s="9"/>
      <c r="K128" s="9"/>
      <c r="L128" s="9"/>
      <c r="M128" s="9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10"/>
      <c r="B129" s="10"/>
      <c r="C129" s="10"/>
      <c r="D129" s="10"/>
      <c r="E129" s="10"/>
      <c r="F129" s="10"/>
      <c r="G129" s="10"/>
      <c r="H129" s="9"/>
      <c r="I129" s="9"/>
      <c r="J129" s="9"/>
      <c r="K129" s="9"/>
      <c r="L129" s="9"/>
      <c r="M129" s="9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</row>
    <row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</row>
    <row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</row>
    <row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</row>
    <row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</row>
    <row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</row>
    <row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</row>
    <row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</row>
    <row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</row>
    <row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</row>
    <row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</row>
    <row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</row>
    <row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</row>
    <row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</row>
    <row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</row>
    <row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</row>
    <row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</row>
    <row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</row>
    <row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</row>
    <row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</row>
    <row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</row>
    <row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</row>
    <row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</row>
    <row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</row>
    <row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</row>
    <row r="104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</row>
    <row r="104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</row>
    <row r="104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</row>
    <row r="1044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</row>
    <row r="10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</row>
    <row r="104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</row>
    <row r="1047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</row>
    <row r="1048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</row>
    <row r="104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</row>
    <row r="105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</row>
    <row r="105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</row>
    <row r="105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</row>
    <row r="105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</row>
    <row r="1054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</row>
    <row r="105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</row>
    <row r="105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</row>
    <row r="105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</row>
    <row r="1058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</row>
    <row r="105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</row>
    <row r="1060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</row>
    <row r="106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</row>
    <row r="106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</row>
    <row r="1063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</row>
    <row r="1064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</row>
    <row r="106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</row>
    <row r="106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</row>
    <row r="1067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</row>
    <row r="1068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</row>
    <row r="106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</row>
    <row r="107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</row>
    <row r="107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</row>
    <row r="10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</row>
    <row r="107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</row>
    <row r="1074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</row>
    <row r="10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</row>
    <row r="107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</row>
    <row r="1077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</row>
    <row r="1078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</row>
    <row r="107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</row>
    <row r="108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9.75"/>
    <col customWidth="1" min="4" max="4" width="14.38"/>
    <col customWidth="1" min="5" max="5" width="16.0"/>
    <col customWidth="1" min="6" max="6" width="13.75"/>
    <col customWidth="1" min="7" max="7" width="31.88"/>
    <col customWidth="1" min="9" max="9" width="13.75"/>
    <col customWidth="1" min="10" max="10" width="17.38"/>
    <col customWidth="1" min="14" max="14" width="12.88"/>
    <col customWidth="1" min="15" max="15" width="13.13"/>
    <col customWidth="1" min="16" max="16" width="15.38"/>
    <col customWidth="1" min="17" max="17" width="14.88"/>
    <col customWidth="1" min="18" max="18" width="10.38"/>
    <col customWidth="1" min="19" max="19" width="11.25"/>
    <col customWidth="1" min="20" max="20" width="15.25"/>
    <col customWidth="1" min="27" max="27" width="17.38"/>
  </cols>
  <sheetData>
    <row r="1">
      <c r="A1" s="3" t="s">
        <v>25</v>
      </c>
      <c r="B1" s="12" t="s">
        <v>0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</row>
    <row r="2">
      <c r="A2" s="31">
        <v>2021.0</v>
      </c>
      <c r="B2" s="32" t="s">
        <v>12</v>
      </c>
      <c r="C2" s="33" t="s">
        <v>51</v>
      </c>
      <c r="D2" s="34">
        <v>195276.25</v>
      </c>
      <c r="E2" s="34">
        <v>185222.73</v>
      </c>
      <c r="F2" s="34">
        <f t="shared" ref="F2:F77" si="1">D2-E2</f>
        <v>10053.52</v>
      </c>
      <c r="G2" s="35" t="str">
        <f>IFERROR(__xludf.DUMMYFUNCTION("TRANSPOSE(IMPORTRANGE(""1o4Ac6NI0SfLibsumFt9f9lHwJFVrF2ykccRsQvuxGAI"", ""2021!C49:H69""))"),"Kee Sung Agriculture (M) Sdn Bhd")</f>
        <v>Kee Sung Agriculture (M) Sdn Bhd</v>
      </c>
      <c r="H2" s="36">
        <f>IFERROR(__xludf.DUMMYFUNCTION("""COMPUTED_VALUE"""),20200.0)</f>
        <v>20200</v>
      </c>
      <c r="I2" s="37">
        <f>IFERROR(__xludf.DUMMYFUNCTION("""COMPUTED_VALUE"""),2.03)</f>
        <v>2.03</v>
      </c>
      <c r="J2" s="36">
        <f>IFERROR(__xludf.DUMMYFUNCTION("""COMPUTED_VALUE"""),1208.0)</f>
        <v>1208</v>
      </c>
      <c r="K2" s="38">
        <f>IFERROR(__xludf.DUMMYFUNCTION("""COMPUTED_VALUE"""),0.0598019801980198)</f>
        <v>0.0598019802</v>
      </c>
      <c r="L2" s="38">
        <f>IFERROR(__xludf.DUMMYFUNCTION("""COMPUTED_VALUE"""),0.9401980198019801)</f>
        <v>0.9401980198</v>
      </c>
      <c r="M2" s="39">
        <f>IFERROR(__xludf.DUMMYFUNCTION("""COMPUTED_VALUE"""),35.0)</f>
        <v>35</v>
      </c>
      <c r="N2" s="36">
        <f>IFERROR(__xludf.DUMMYFUNCTION("""COMPUTED_VALUE"""),1400.3450999999998)</f>
        <v>1400.3451</v>
      </c>
      <c r="O2" s="35">
        <f>IFERROR(__xludf.DUMMYFUNCTION("""COMPUTED_VALUE"""),1.65)</f>
        <v>1.65</v>
      </c>
      <c r="P2" s="36">
        <f>IFERROR(__xludf.DUMMYFUNCTION("""COMPUTED_VALUE"""),18992.0)</f>
        <v>18992</v>
      </c>
      <c r="Q2" s="34">
        <f>IFERROR(__xludf.DUMMYFUNCTION("""COMPUTED_VALUE"""),42434.7)</f>
        <v>42434.7</v>
      </c>
      <c r="R2" s="34">
        <f>IFERROR(__xludf.DUMMYFUNCTION("""COMPUTED_VALUE"""),2.234346040438079)</f>
        <v>2.23434604</v>
      </c>
      <c r="S2" s="34">
        <f>IFERROR(__xludf.DUMMYFUNCTION("""COMPUTED_VALUE"""),10.282026642796968)</f>
        <v>10.28202664</v>
      </c>
      <c r="T2" s="34">
        <f>IFERROR(__xludf.DUMMYFUNCTION("""COMPUTED_VALUE"""),9.752671124684076)</f>
        <v>9.752671125</v>
      </c>
      <c r="U2" s="34">
        <f>IFERROR(__xludf.DUMMYFUNCTION("""COMPUTED_VALUE"""),0.5293555181128919)</f>
        <v>0.5293555181</v>
      </c>
      <c r="V2" s="40">
        <f>IFERROR(__xludf.DUMMYFUNCTION("""COMPUTED_VALUE"""),4.601805833433487)</f>
        <v>4.601805833</v>
      </c>
      <c r="W2" s="40">
        <f>IFERROR(__xludf.DUMMYFUNCTION("""COMPUTED_VALUE"""),4.364888405008165)</f>
        <v>4.364888405</v>
      </c>
      <c r="X2" s="40">
        <f>IFERROR(__xludf.DUMMYFUNCTION("""COMPUTED_VALUE"""),0.23691742842532193)</f>
        <v>0.2369174284</v>
      </c>
      <c r="Y2" s="40">
        <f>IFERROR(__xludf.DUMMYFUNCTION("""COMPUTED_VALUE"""),0.5293555181128906)</f>
        <v>0.5293555181</v>
      </c>
      <c r="Z2" s="41">
        <f>IFERROR(__xludf.DUMMYFUNCTION("""COMPUTED_VALUE"""),363.76237623762376)</f>
        <v>363.7623762</v>
      </c>
      <c r="AA2" s="42" t="str">
        <f>IFERROR(__xludf.DUMMYFUNCTION("""COMPUTED_VALUE"""),"VERY BAD")</f>
        <v>VERY BAD</v>
      </c>
    </row>
    <row r="3">
      <c r="A3" s="31">
        <v>2021.0</v>
      </c>
      <c r="B3" s="32" t="s">
        <v>12</v>
      </c>
      <c r="C3" s="33" t="s">
        <v>52</v>
      </c>
      <c r="D3" s="34">
        <v>195429.65</v>
      </c>
      <c r="E3" s="34">
        <v>181115.54</v>
      </c>
      <c r="F3" s="34">
        <f t="shared" si="1"/>
        <v>14314.11</v>
      </c>
      <c r="G3" s="35" t="str">
        <f>IFERROR(__xludf.DUMMYFUNCTION("""COMPUTED_VALUE"""),"Kee Sung Agriculture (M) Sdn Bhd")</f>
        <v>Kee Sung Agriculture (M) Sdn Bhd</v>
      </c>
      <c r="H3" s="36">
        <f>IFERROR(__xludf.DUMMYFUNCTION("""COMPUTED_VALUE"""),20200.0)</f>
        <v>20200</v>
      </c>
      <c r="I3" s="37">
        <f>IFERROR(__xludf.DUMMYFUNCTION("""COMPUTED_VALUE"""),2.03)</f>
        <v>2.03</v>
      </c>
      <c r="J3" s="36">
        <f>IFERROR(__xludf.DUMMYFUNCTION("""COMPUTED_VALUE"""),1073.0)</f>
        <v>1073</v>
      </c>
      <c r="K3" s="38">
        <f>IFERROR(__xludf.DUMMYFUNCTION("""COMPUTED_VALUE"""),0.05311881188118812)</f>
        <v>0.05311881188</v>
      </c>
      <c r="L3" s="38">
        <f>IFERROR(__xludf.DUMMYFUNCTION("""COMPUTED_VALUE"""),0.9468811881188118)</f>
        <v>0.9468811881</v>
      </c>
      <c r="M3" s="39">
        <f>IFERROR(__xludf.DUMMYFUNCTION("""COMPUTED_VALUE"""),35.0)</f>
        <v>35</v>
      </c>
      <c r="N3" s="36">
        <f>IFERROR(__xludf.DUMMYFUNCTION("""COMPUTED_VALUE"""),1399.8531)</f>
        <v>1399.8531</v>
      </c>
      <c r="O3" s="35">
        <f>IFERROR(__xludf.DUMMYFUNCTION("""COMPUTED_VALUE"""),1.66)</f>
        <v>1.66</v>
      </c>
      <c r="P3" s="36">
        <f>IFERROR(__xludf.DUMMYFUNCTION("""COMPUTED_VALUE"""),19127.0)</f>
        <v>19127</v>
      </c>
      <c r="Q3" s="34">
        <f>IFERROR(__xludf.DUMMYFUNCTION("""COMPUTED_VALUE"""),42164.25)</f>
        <v>42164.25</v>
      </c>
      <c r="R3" s="34">
        <f>IFERROR(__xludf.DUMMYFUNCTION("""COMPUTED_VALUE"""),2.2044361373973964)</f>
        <v>2.204436137</v>
      </c>
      <c r="S3" s="34">
        <f>IFERROR(__xludf.DUMMYFUNCTION("""COMPUTED_VALUE"""),10.217475296700998)</f>
        <v>10.2174753</v>
      </c>
      <c r="T3" s="40">
        <f>IFERROR(__xludf.DUMMYFUNCTION("""COMPUTED_VALUE"""),9.469103361739949)</f>
        <v>9.469103362</v>
      </c>
      <c r="U3" s="40">
        <f>IFERROR(__xludf.DUMMYFUNCTION("""COMPUTED_VALUE"""),0.7483719349610496)</f>
        <v>0.748371935</v>
      </c>
      <c r="V3" s="40">
        <f>IFERROR(__xludf.DUMMYFUNCTION("""COMPUTED_VALUE"""),4.634960896968403)</f>
        <v>4.634960897</v>
      </c>
      <c r="W3" s="40">
        <f>IFERROR(__xludf.DUMMYFUNCTION("""COMPUTED_VALUE"""),4.295476381057412)</f>
        <v>4.295476381</v>
      </c>
      <c r="X3" s="40">
        <f>IFERROR(__xludf.DUMMYFUNCTION("""COMPUTED_VALUE"""),0.33948451591099094)</f>
        <v>0.3394845159</v>
      </c>
      <c r="Y3" s="40">
        <f>IFERROR(__xludf.DUMMYFUNCTION("""COMPUTED_VALUE"""),0.7483719349610491)</f>
        <v>0.748371935</v>
      </c>
      <c r="Z3" s="41">
        <f>IFERROR(__xludf.DUMMYFUNCTION("""COMPUTED_VALUE"""),314.35829953477275)</f>
        <v>314.3582995</v>
      </c>
      <c r="AA3" s="42" t="str">
        <f>IFERROR(__xludf.DUMMYFUNCTION("""COMPUTED_VALUE"""),"JUST AVERAGE")</f>
        <v>JUST AVERAGE</v>
      </c>
    </row>
    <row r="4">
      <c r="A4" s="31">
        <v>2021.0</v>
      </c>
      <c r="B4" s="32" t="s">
        <v>12</v>
      </c>
      <c r="C4" s="33" t="s">
        <v>53</v>
      </c>
      <c r="D4" s="34">
        <v>205046.55</v>
      </c>
      <c r="E4" s="34">
        <v>192480.55</v>
      </c>
      <c r="F4" s="34">
        <f t="shared" si="1"/>
        <v>12566</v>
      </c>
      <c r="G4" s="35" t="str">
        <f>IFERROR(__xludf.DUMMYFUNCTION("""COMPUTED_VALUE"""),"Kee Sung Agriculture (M) Sdn Bhd")</f>
        <v>Kee Sung Agriculture (M) Sdn Bhd</v>
      </c>
      <c r="H4" s="36">
        <f>IFERROR(__xludf.DUMMYFUNCTION("""COMPUTED_VALUE"""),19190.0)</f>
        <v>19190</v>
      </c>
      <c r="I4" s="37">
        <f>IFERROR(__xludf.DUMMYFUNCTION("""COMPUTED_VALUE"""),2.03)</f>
        <v>2.03</v>
      </c>
      <c r="J4" s="36">
        <f>IFERROR(__xludf.DUMMYFUNCTION("""COMPUTED_VALUE"""),1431.0)</f>
        <v>1431</v>
      </c>
      <c r="K4" s="38">
        <f>IFERROR(__xludf.DUMMYFUNCTION("""COMPUTED_VALUE"""),0.07457008858780614)</f>
        <v>0.07457008859</v>
      </c>
      <c r="L4" s="38">
        <f>IFERROR(__xludf.DUMMYFUNCTION("""COMPUTED_VALUE"""),0.9254299114121939)</f>
        <v>0.9254299114</v>
      </c>
      <c r="M4" s="39">
        <f>IFERROR(__xludf.DUMMYFUNCTION("""COMPUTED_VALUE"""),35.0)</f>
        <v>35</v>
      </c>
      <c r="N4" s="36">
        <f>IFERROR(__xludf.DUMMYFUNCTION("""COMPUTED_VALUE"""),1345.12472)</f>
        <v>1345.12472</v>
      </c>
      <c r="O4" s="35">
        <f>IFERROR(__xludf.DUMMYFUNCTION("""COMPUTED_VALUE"""),1.64)</f>
        <v>1.64</v>
      </c>
      <c r="P4" s="36">
        <f>IFERROR(__xludf.DUMMYFUNCTION("""COMPUTED_VALUE"""),17759.0)</f>
        <v>17759</v>
      </c>
      <c r="Q4" s="34">
        <f>IFERROR(__xludf.DUMMYFUNCTION("""COMPUTED_VALUE"""),41009.9)</f>
        <v>41009.9</v>
      </c>
      <c r="R4" s="34">
        <f>IFERROR(__xludf.DUMMYFUNCTION("""COMPUTED_VALUE"""),2.3092460161045105)</f>
        <v>2.309246016</v>
      </c>
      <c r="S4" s="34">
        <f>IFERROR(__xludf.DUMMYFUNCTION("""COMPUTED_VALUE"""),11.546063967565741)</f>
        <v>11.54606397</v>
      </c>
      <c r="T4" s="40">
        <f>IFERROR(__xludf.DUMMYFUNCTION("""COMPUTED_VALUE"""),10.838479081029337)</f>
        <v>10.83847908</v>
      </c>
      <c r="U4" s="40">
        <f>IFERROR(__xludf.DUMMYFUNCTION("""COMPUTED_VALUE"""),0.7075848865364041)</f>
        <v>0.7075848865</v>
      </c>
      <c r="V4" s="40">
        <f>IFERROR(__xludf.DUMMYFUNCTION("""COMPUTED_VALUE"""),4.999928066149881)</f>
        <v>4.999928066</v>
      </c>
      <c r="W4" s="40">
        <f>IFERROR(__xludf.DUMMYFUNCTION("""COMPUTED_VALUE"""),4.6935142489984125)</f>
        <v>4.693514249</v>
      </c>
      <c r="X4" s="40">
        <f>IFERROR(__xludf.DUMMYFUNCTION("""COMPUTED_VALUE"""),0.3064138171514683)</f>
        <v>0.3064138172</v>
      </c>
      <c r="Y4" s="40">
        <f>IFERROR(__xludf.DUMMYFUNCTION("""COMPUTED_VALUE"""),0.7075848865364024)</f>
        <v>0.7075848865</v>
      </c>
      <c r="Z4" s="41">
        <f>IFERROR(__xludf.DUMMYFUNCTION("""COMPUTED_VALUE"""),325.76910611471936)</f>
        <v>325.7691061</v>
      </c>
      <c r="AA4" s="42" t="str">
        <f>IFERROR(__xludf.DUMMYFUNCTION("""COMPUTED_VALUE"""),"JUST AVERAGE")</f>
        <v>JUST AVERAGE</v>
      </c>
    </row>
    <row r="5">
      <c r="A5" s="31">
        <v>2021.0</v>
      </c>
      <c r="B5" s="32" t="s">
        <v>12</v>
      </c>
      <c r="C5" s="33" t="s">
        <v>54</v>
      </c>
      <c r="D5" s="34">
        <v>204760.72</v>
      </c>
      <c r="E5" s="34">
        <v>209555.36</v>
      </c>
      <c r="F5" s="34">
        <f t="shared" si="1"/>
        <v>-4794.64</v>
      </c>
      <c r="G5" s="35" t="str">
        <f>IFERROR(__xludf.DUMMYFUNCTION("""COMPUTED_VALUE"""),"Kee Sung Agriculture (M) Sdn Bhd")</f>
        <v>Kee Sung Agriculture (M) Sdn Bhd</v>
      </c>
      <c r="H5" s="36">
        <f>IFERROR(__xludf.DUMMYFUNCTION("""COMPUTED_VALUE"""),21210.0)</f>
        <v>21210</v>
      </c>
      <c r="I5" s="37">
        <f>IFERROR(__xludf.DUMMYFUNCTION("""COMPUTED_VALUE"""),2.03)</f>
        <v>2.03</v>
      </c>
      <c r="J5" s="36">
        <f>IFERROR(__xludf.DUMMYFUNCTION("""COMPUTED_VALUE"""),1381.0)</f>
        <v>1381</v>
      </c>
      <c r="K5" s="38">
        <f>IFERROR(__xludf.DUMMYFUNCTION("""COMPUTED_VALUE"""),0.06511079679396511)</f>
        <v>0.06511079679</v>
      </c>
      <c r="L5" s="38">
        <f>IFERROR(__xludf.DUMMYFUNCTION("""COMPUTED_VALUE"""),0.9348892032060349)</f>
        <v>0.9348892032</v>
      </c>
      <c r="M5" s="39">
        <f>IFERROR(__xludf.DUMMYFUNCTION("""COMPUTED_VALUE"""),35.0)</f>
        <v>35</v>
      </c>
      <c r="N5" s="36">
        <f>IFERROR(__xludf.DUMMYFUNCTION("""COMPUTED_VALUE"""),1443.6675599999999)</f>
        <v>1443.66756</v>
      </c>
      <c r="O5" s="35">
        <f>IFERROR(__xludf.DUMMYFUNCTION("""COMPUTED_VALUE"""),1.74)</f>
        <v>1.74</v>
      </c>
      <c r="P5" s="36">
        <f>IFERROR(__xludf.DUMMYFUNCTION("""COMPUTED_VALUE"""),19829.0)</f>
        <v>19829</v>
      </c>
      <c r="Q5" s="34">
        <f>IFERROR(__xludf.DUMMYFUNCTION("""COMPUTED_VALUE"""),41484.7)</f>
        <v>41484.7</v>
      </c>
      <c r="R5" s="34">
        <f>IFERROR(__xludf.DUMMYFUNCTION("""COMPUTED_VALUE"""),2.0921226486459226)</f>
        <v>2.092122649</v>
      </c>
      <c r="S5" s="34">
        <f>IFERROR(__xludf.DUMMYFUNCTION("""COMPUTED_VALUE"""),10.326326088052852)</f>
        <v>10.32632609</v>
      </c>
      <c r="T5" s="40">
        <f>IFERROR(__xludf.DUMMYFUNCTION("""COMPUTED_VALUE"""),10.568125472792376)</f>
        <v>10.56812547</v>
      </c>
      <c r="U5" s="40">
        <f>IFERROR(__xludf.DUMMYFUNCTION("""COMPUTED_VALUE"""),-0.24179938473952411)</f>
        <v>-0.2417993847</v>
      </c>
      <c r="V5" s="40">
        <f>IFERROR(__xludf.DUMMYFUNCTION("""COMPUTED_VALUE"""),4.935812962369259)</f>
        <v>4.935812962</v>
      </c>
      <c r="W5" s="40">
        <f>IFERROR(__xludf.DUMMYFUNCTION("""COMPUTED_VALUE"""),5.051389066330479)</f>
        <v>5.051389066</v>
      </c>
      <c r="X5" s="40">
        <f>IFERROR(__xludf.DUMMYFUNCTION("""COMPUTED_VALUE"""),-0.11557610396121998)</f>
        <v>-0.115576104</v>
      </c>
      <c r="Y5" s="40">
        <f>IFERROR(__xludf.DUMMYFUNCTION("""COMPUTED_VALUE"""),-0.24179938473952362)</f>
        <v>-0.2417993847</v>
      </c>
      <c r="Z5" s="41">
        <f>IFERROR(__xludf.DUMMYFUNCTION("""COMPUTED_VALUE"""),281.0205281611905)</f>
        <v>281.0205282</v>
      </c>
      <c r="AA5" s="42" t="str">
        <f>IFERROR(__xludf.DUMMYFUNCTION("""COMPUTED_VALUE"""),"VERY BAD")</f>
        <v>VERY BAD</v>
      </c>
    </row>
    <row r="6">
      <c r="A6" s="31">
        <v>2021.0</v>
      </c>
      <c r="B6" s="32" t="s">
        <v>12</v>
      </c>
      <c r="C6" s="33" t="s">
        <v>55</v>
      </c>
      <c r="D6" s="34">
        <v>317232.55</v>
      </c>
      <c r="E6" s="34">
        <v>308007.66</v>
      </c>
      <c r="F6" s="34">
        <f t="shared" si="1"/>
        <v>9224.89</v>
      </c>
      <c r="G6" s="35" t="str">
        <f>IFERROR(__xludf.DUMMYFUNCTION("""COMPUTED_VALUE"""),"Kee Sung Agriculture (M) Sdn Bhd")</f>
        <v>Kee Sung Agriculture (M) Sdn Bhd</v>
      </c>
      <c r="H6" s="36">
        <f>IFERROR(__xludf.DUMMYFUNCTION("""COMPUTED_VALUE"""),33000.0)</f>
        <v>33000</v>
      </c>
      <c r="I6" s="37">
        <f>IFERROR(__xludf.DUMMYFUNCTION("""COMPUTED_VALUE"""),2.03)</f>
        <v>2.03</v>
      </c>
      <c r="J6" s="36">
        <f>IFERROR(__xludf.DUMMYFUNCTION("""COMPUTED_VALUE"""),2024.0)</f>
        <v>2024</v>
      </c>
      <c r="K6" s="38">
        <f>IFERROR(__xludf.DUMMYFUNCTION("""COMPUTED_VALUE"""),0.06133333333333333)</f>
        <v>0.06133333333</v>
      </c>
      <c r="L6" s="38">
        <f>IFERROR(__xludf.DUMMYFUNCTION("""COMPUTED_VALUE"""),0.9386666666666666)</f>
        <v>0.9386666667</v>
      </c>
      <c r="M6" s="39">
        <f>IFERROR(__xludf.DUMMYFUNCTION("""COMPUTED_VALUE"""),35.0)</f>
        <v>35</v>
      </c>
      <c r="N6" s="36">
        <f>IFERROR(__xludf.DUMMYFUNCTION("""COMPUTED_VALUE"""),2218.2837600000003)</f>
        <v>2218.28376</v>
      </c>
      <c r="O6" s="35">
        <f>IFERROR(__xludf.DUMMYFUNCTION("""COMPUTED_VALUE"""),1.61)</f>
        <v>1.61</v>
      </c>
      <c r="P6" s="36">
        <f>IFERROR(__xludf.DUMMYFUNCTION("""COMPUTED_VALUE"""),30976.0)</f>
        <v>30976</v>
      </c>
      <c r="Q6" s="34">
        <f>IFERROR(__xludf.DUMMYFUNCTION("""COMPUTED_VALUE"""),68890.8)</f>
        <v>68890.8</v>
      </c>
      <c r="R6" s="34">
        <f>IFERROR(__xludf.DUMMYFUNCTION("""COMPUTED_VALUE"""),2.224005681818182)</f>
        <v>2.224005682</v>
      </c>
      <c r="S6" s="34">
        <f>IFERROR(__xludf.DUMMYFUNCTION("""COMPUTED_VALUE"""),10.241236763946281)</f>
        <v>10.24123676</v>
      </c>
      <c r="T6" s="40">
        <f>IFERROR(__xludf.DUMMYFUNCTION("""COMPUTED_VALUE"""),9.943429106404958)</f>
        <v>9.943429106</v>
      </c>
      <c r="U6" s="40">
        <f>IFERROR(__xludf.DUMMYFUNCTION("""COMPUTED_VALUE"""),0.2978076575413233)</f>
        <v>0.2978076575</v>
      </c>
      <c r="V6" s="40">
        <f>IFERROR(__xludf.DUMMYFUNCTION("""COMPUTED_VALUE"""),4.6048608812787775)</f>
        <v>4.604860881</v>
      </c>
      <c r="W6" s="40">
        <f>IFERROR(__xludf.DUMMYFUNCTION("""COMPUTED_VALUE"""),4.470954902541413)</f>
        <v>4.470954903</v>
      </c>
      <c r="X6" s="40">
        <f>IFERROR(__xludf.DUMMYFUNCTION("""COMPUTED_VALUE"""),0.13390597873736443)</f>
        <v>0.1339059787</v>
      </c>
      <c r="Y6" s="40">
        <f>IFERROR(__xludf.DUMMYFUNCTION("""COMPUTED_VALUE"""),0.29780765754132277)</f>
        <v>0.2978076575</v>
      </c>
      <c r="Z6" s="41">
        <f>IFERROR(__xludf.DUMMYFUNCTION("""COMPUTED_VALUE"""),324.1614906832298)</f>
        <v>324.1614907</v>
      </c>
      <c r="AA6" s="42" t="str">
        <f>IFERROR(__xludf.DUMMYFUNCTION("""COMPUTED_VALUE"""),"VERY BAD")</f>
        <v>VERY BAD</v>
      </c>
    </row>
    <row r="7">
      <c r="A7" s="31">
        <v>2021.0</v>
      </c>
      <c r="B7" s="32" t="s">
        <v>12</v>
      </c>
      <c r="C7" s="33" t="s">
        <v>56</v>
      </c>
      <c r="D7" s="34">
        <v>321999.65</v>
      </c>
      <c r="E7" s="34">
        <v>335947.32</v>
      </c>
      <c r="F7" s="34">
        <f t="shared" si="1"/>
        <v>-13947.67</v>
      </c>
      <c r="G7" s="35" t="str">
        <f>IFERROR(__xludf.DUMMYFUNCTION("""COMPUTED_VALUE"""),"Kee Sung Agriculture (M) Sdn Bhd")</f>
        <v>Kee Sung Agriculture (M) Sdn Bhd</v>
      </c>
      <c r="H7" s="36">
        <f>IFERROR(__xludf.DUMMYFUNCTION("""COMPUTED_VALUE"""),35600.0)</f>
        <v>35600</v>
      </c>
      <c r="I7" s="37">
        <f>IFERROR(__xludf.DUMMYFUNCTION("""COMPUTED_VALUE"""),2.03)</f>
        <v>2.03</v>
      </c>
      <c r="J7" s="36">
        <f>IFERROR(__xludf.DUMMYFUNCTION("""COMPUTED_VALUE"""),1550.0)</f>
        <v>1550</v>
      </c>
      <c r="K7" s="38">
        <f>IFERROR(__xludf.DUMMYFUNCTION("""COMPUTED_VALUE"""),0.04353932584269663)</f>
        <v>0.04353932584</v>
      </c>
      <c r="L7" s="38">
        <f>IFERROR(__xludf.DUMMYFUNCTION("""COMPUTED_VALUE"""),0.9564606741573034)</f>
        <v>0.9564606742</v>
      </c>
      <c r="M7" s="39">
        <f>IFERROR(__xludf.DUMMYFUNCTION("""COMPUTED_VALUE"""),35.0)</f>
        <v>35</v>
      </c>
      <c r="N7" s="36">
        <f>IFERROR(__xludf.DUMMYFUNCTION("""COMPUTED_VALUE"""),2402.4894600000002)</f>
        <v>2402.48946</v>
      </c>
      <c r="O7" s="35">
        <f>IFERROR(__xludf.DUMMYFUNCTION("""COMPUTED_VALUE"""),1.55)</f>
        <v>1.55</v>
      </c>
      <c r="P7" s="36">
        <f>IFERROR(__xludf.DUMMYFUNCTION("""COMPUTED_VALUE"""),34050.0)</f>
        <v>34050</v>
      </c>
      <c r="Q7" s="34">
        <f>IFERROR(__xludf.DUMMYFUNCTION("""COMPUTED_VALUE"""),77499.66)</f>
        <v>77499.66</v>
      </c>
      <c r="R7" s="34">
        <f>IFERROR(__xludf.DUMMYFUNCTION("""COMPUTED_VALUE"""),2.276054625550661)</f>
        <v>2.276054626</v>
      </c>
      <c r="S7" s="34">
        <f>IFERROR(__xludf.DUMMYFUNCTION("""COMPUTED_VALUE"""),9.45667107195301)</f>
        <v>9.456671072</v>
      </c>
      <c r="T7" s="40">
        <f>IFERROR(__xludf.DUMMYFUNCTION("""COMPUTED_VALUE"""),9.866294273127753)</f>
        <v>9.866294273</v>
      </c>
      <c r="U7" s="40">
        <f>IFERROR(__xludf.DUMMYFUNCTION("""COMPUTED_VALUE"""),-0.4096232011747425)</f>
        <v>-0.4096232012</v>
      </c>
      <c r="V7" s="40">
        <f>IFERROR(__xludf.DUMMYFUNCTION("""COMPUTED_VALUE"""),4.154852421288042)</f>
        <v>4.154852421</v>
      </c>
      <c r="W7" s="40">
        <f>IFERROR(__xludf.DUMMYFUNCTION("""COMPUTED_VALUE"""),4.3348231463208995)</f>
        <v>4.334823146</v>
      </c>
      <c r="X7" s="40">
        <f>IFERROR(__xludf.DUMMYFUNCTION("""COMPUTED_VALUE"""),-0.17997072503285771)</f>
        <v>-0.179970725</v>
      </c>
      <c r="Y7" s="40">
        <f>IFERROR(__xludf.DUMMYFUNCTION("""COMPUTED_VALUE"""),-0.40962320117474255)</f>
        <v>-0.4096232012</v>
      </c>
      <c r="Z7" s="41">
        <f>IFERROR(__xludf.DUMMYFUNCTION("""COMPUTED_VALUE"""),351.12205509242483)</f>
        <v>351.1220551</v>
      </c>
      <c r="AA7" s="42" t="str">
        <f>IFERROR(__xludf.DUMMYFUNCTION("""COMPUTED_VALUE"""),"VERY BAD")</f>
        <v>VERY BAD</v>
      </c>
    </row>
    <row r="8">
      <c r="A8" s="31">
        <v>2021.0</v>
      </c>
      <c r="B8" s="32" t="s">
        <v>17</v>
      </c>
      <c r="C8" s="33" t="s">
        <v>51</v>
      </c>
      <c r="D8" s="34">
        <f>IFERROR(__xludf.DUMMYFUNCTION("TRANSPOSE(IMPORTRANGE(""1OP-qxVLNURBqstk-WZQd8qB2vYxDQLc8s35zWl_CMzo"", ""2021!C12:E12""))"),162651.21)</f>
        <v>162651.21</v>
      </c>
      <c r="E8" s="34">
        <f>IFERROR(__xludf.DUMMYFUNCTION("TRANSPOSE(IMPORTRANGE(""1OP-qxVLNURBqstk-WZQd8qB2vYxDQLc8s35zWl_CMzo"", ""2021!C41:E41""))"),142154.97)</f>
        <v>142154.97</v>
      </c>
      <c r="F8" s="34">
        <f t="shared" si="1"/>
        <v>20496.24</v>
      </c>
      <c r="G8" s="36" t="str">
        <f>IFERROR(__xludf.DUMMYFUNCTION("TRANSPOSE(IMPORTRANGE(""1OP-qxVLNURBqstk-WZQd8qB2vYxDQLc8s35zWl_CMzo"", ""2021!C49:E69""))"),"Huat Lai Resourses Bhd")</f>
        <v>Huat Lai Resourses Bhd</v>
      </c>
      <c r="H8" s="36">
        <f>IFERROR(__xludf.DUMMYFUNCTION("""COMPUTED_VALUE"""),14600.0)</f>
        <v>14600</v>
      </c>
      <c r="I8" s="37">
        <f>IFERROR(__xludf.DUMMYFUNCTION("""COMPUTED_VALUE"""),1.6)</f>
        <v>1.6</v>
      </c>
      <c r="J8" s="36">
        <f>IFERROR(__xludf.DUMMYFUNCTION("""COMPUTED_VALUE"""),477.0)</f>
        <v>477</v>
      </c>
      <c r="K8" s="38">
        <f>IFERROR(__xludf.DUMMYFUNCTION("""COMPUTED_VALUE"""),0.03267123287671233)</f>
        <v>0.03267123288</v>
      </c>
      <c r="L8" s="38">
        <f>IFERROR(__xludf.DUMMYFUNCTION("""COMPUTED_VALUE"""),0.9673287671232876)</f>
        <v>0.9673287671</v>
      </c>
      <c r="M8" s="39">
        <f>IFERROR(__xludf.DUMMYFUNCTION("""COMPUTED_VALUE"""),35.0)</f>
        <v>35</v>
      </c>
      <c r="N8" s="36">
        <f>IFERROR(__xludf.DUMMYFUNCTION("""COMPUTED_VALUE"""),1082.0585760000001)</f>
        <v>1082.058576</v>
      </c>
      <c r="O8" s="35">
        <f>IFERROR(__xludf.DUMMYFUNCTION("""COMPUTED_VALUE"""),1.58)</f>
        <v>1.58</v>
      </c>
      <c r="P8" s="36">
        <f>IFERROR(__xludf.DUMMYFUNCTION("""COMPUTED_VALUE"""),14123.0)</f>
        <v>14123</v>
      </c>
      <c r="Q8" s="34">
        <f>IFERROR(__xludf.DUMMYFUNCTION("""COMPUTED_VALUE"""),34242.36)</f>
        <v>34242.36</v>
      </c>
      <c r="R8" s="34">
        <f>IFERROR(__xludf.DUMMYFUNCTION("""COMPUTED_VALUE"""),2.424581179636055)</f>
        <v>2.42458118</v>
      </c>
      <c r="S8" s="34">
        <f>IFERROR(__xludf.DUMMYFUNCTION("""COMPUTED_VALUE"""),11.516760603271258)</f>
        <v>11.5167606</v>
      </c>
      <c r="T8" s="40">
        <f>IFERROR(__xludf.DUMMYFUNCTION("""COMPUTED_VALUE"""),10.065493875238971)</f>
        <v>10.06549388</v>
      </c>
      <c r="U8" s="40">
        <f>IFERROR(__xludf.DUMMYFUNCTION("""COMPUTED_VALUE"""),1.4512667280322873)</f>
        <v>1.451266728</v>
      </c>
      <c r="V8" s="40">
        <f>IFERROR(__xludf.DUMMYFUNCTION("""COMPUTED_VALUE"""),4.75)</f>
        <v>4.75</v>
      </c>
      <c r="W8" s="40">
        <f>IFERROR(__xludf.DUMMYFUNCTION("""COMPUTED_VALUE"""),4.151436115968642)</f>
        <v>4.151436116</v>
      </c>
      <c r="X8" s="40">
        <f>IFERROR(__xludf.DUMMYFUNCTION("""COMPUTED_VALUE"""),0.5985638840313579)</f>
        <v>0.598563884</v>
      </c>
      <c r="Y8" s="40">
        <f>IFERROR(__xludf.DUMMYFUNCTION("""COMPUTED_VALUE"""),1.451266728032287)</f>
        <v>1.451266728</v>
      </c>
      <c r="Z8" s="41">
        <f>IFERROR(__xludf.DUMMYFUNCTION("""COMPUTED_VALUE"""),371.10239292526444)</f>
        <v>371.1023929</v>
      </c>
      <c r="AA8" s="42" t="str">
        <f>IFERROR(__xludf.DUMMYFUNCTION("""COMPUTED_VALUE"""),"VERY GOOD")</f>
        <v>VERY GOOD</v>
      </c>
    </row>
    <row r="9">
      <c r="A9" s="31">
        <v>2021.0</v>
      </c>
      <c r="B9" s="32" t="s">
        <v>17</v>
      </c>
      <c r="C9" s="33" t="s">
        <v>52</v>
      </c>
      <c r="D9" s="34">
        <f>IFERROR(__xludf.DUMMYFUNCTION("""COMPUTED_VALUE"""),131595.49)</f>
        <v>131595.49</v>
      </c>
      <c r="E9" s="34">
        <f>IFERROR(__xludf.DUMMYFUNCTION("""COMPUTED_VALUE"""),134178.15)</f>
        <v>134178.15</v>
      </c>
      <c r="F9" s="34">
        <f t="shared" si="1"/>
        <v>-2582.66</v>
      </c>
      <c r="G9" s="36" t="str">
        <f>IFERROR(__xludf.DUMMYFUNCTION("""COMPUTED_VALUE"""),"Kee Sung Agriculture (M) Sdn Bhd")</f>
        <v>Kee Sung Agriculture (M) Sdn Bhd</v>
      </c>
      <c r="H9" s="36">
        <f>IFERROR(__xludf.DUMMYFUNCTION("""COMPUTED_VALUE"""),14600.0)</f>
        <v>14600</v>
      </c>
      <c r="I9" s="37">
        <f>IFERROR(__xludf.DUMMYFUNCTION("""COMPUTED_VALUE"""),1.6)</f>
        <v>1.6</v>
      </c>
      <c r="J9" s="36">
        <f>IFERROR(__xludf.DUMMYFUNCTION("""COMPUTED_VALUE"""),387.0)</f>
        <v>387</v>
      </c>
      <c r="K9" s="38">
        <f>IFERROR(__xludf.DUMMYFUNCTION("""COMPUTED_VALUE"""),0.026506849315068495)</f>
        <v>0.02650684932</v>
      </c>
      <c r="L9" s="38">
        <f>IFERROR(__xludf.DUMMYFUNCTION("""COMPUTED_VALUE"""),0.9734931506849315)</f>
        <v>0.9734931507</v>
      </c>
      <c r="M9" s="39">
        <f>IFERROR(__xludf.DUMMYFUNCTION("""COMPUTED_VALUE"""),35.0)</f>
        <v>35</v>
      </c>
      <c r="N9" s="36">
        <f>IFERROR(__xludf.DUMMYFUNCTION("""COMPUTED_VALUE"""),1014.891912)</f>
        <v>1014.891912</v>
      </c>
      <c r="O9" s="35">
        <f>IFERROR(__xludf.DUMMYFUNCTION("""COMPUTED_VALUE"""),1.59)</f>
        <v>1.59</v>
      </c>
      <c r="P9" s="36">
        <f>IFERROR(__xludf.DUMMYFUNCTION("""COMPUTED_VALUE"""),14213.0)</f>
        <v>14213</v>
      </c>
      <c r="Q9" s="34">
        <f>IFERROR(__xludf.DUMMYFUNCTION("""COMPUTED_VALUE"""),31914.84)</f>
        <v>31914.84</v>
      </c>
      <c r="R9" s="34">
        <f>IFERROR(__xludf.DUMMYFUNCTION("""COMPUTED_VALUE"""),2.2454682333075353)</f>
        <v>2.245468233</v>
      </c>
      <c r="S9" s="34">
        <f>IFERROR(__xludf.DUMMYFUNCTION("""COMPUTED_VALUE"""),9.258811651305143)</f>
        <v>9.258811651</v>
      </c>
      <c r="T9" s="40">
        <f>IFERROR(__xludf.DUMMYFUNCTION("""COMPUTED_VALUE"""),9.44052276085274)</f>
        <v>9.440522761</v>
      </c>
      <c r="U9" s="40">
        <f>IFERROR(__xludf.DUMMYFUNCTION("""COMPUTED_VALUE"""),-0.18171110954759762)</f>
        <v>-0.1817111095</v>
      </c>
      <c r="V9" s="40">
        <f>IFERROR(__xludf.DUMMYFUNCTION("""COMPUTED_VALUE"""),4.123332280531565)</f>
        <v>4.123332281</v>
      </c>
      <c r="W9" s="40">
        <f>IFERROR(__xludf.DUMMYFUNCTION("""COMPUTED_VALUE"""),4.204255763149682)</f>
        <v>4.204255763</v>
      </c>
      <c r="X9" s="40">
        <f>IFERROR(__xludf.DUMMYFUNCTION("""COMPUTED_VALUE"""),-0.08092348261811733)</f>
        <v>-0.08092348262</v>
      </c>
      <c r="Y9" s="40">
        <f>IFERROR(__xludf.DUMMYFUNCTION("""COMPUTED_VALUE"""),-0.1817111095475975)</f>
        <v>-0.1817111095</v>
      </c>
      <c r="Z9" s="41">
        <f>IFERROR(__xludf.DUMMYFUNCTION("""COMPUTED_VALUE"""),343.70250710777975)</f>
        <v>343.7025071</v>
      </c>
      <c r="AA9" s="42" t="str">
        <f>IFERROR(__xludf.DUMMYFUNCTION("""COMPUTED_VALUE"""),"VERY BAD")</f>
        <v>VERY BAD</v>
      </c>
    </row>
    <row r="10">
      <c r="A10" s="31">
        <v>2021.0</v>
      </c>
      <c r="B10" s="32" t="s">
        <v>17</v>
      </c>
      <c r="C10" s="33" t="s">
        <v>53</v>
      </c>
      <c r="D10" s="34">
        <f>IFERROR(__xludf.DUMMYFUNCTION("""COMPUTED_VALUE"""),144040.14)</f>
        <v>144040.14</v>
      </c>
      <c r="E10" s="34">
        <f>IFERROR(__xludf.DUMMYFUNCTION("""COMPUTED_VALUE"""),133359.3)</f>
        <v>133359.3</v>
      </c>
      <c r="F10" s="34">
        <f t="shared" si="1"/>
        <v>10680.84</v>
      </c>
      <c r="G10" s="36" t="str">
        <f>IFERROR(__xludf.DUMMYFUNCTION("""COMPUTED_VALUE"""),"Kee Sung Agriculture (M) Sdn Bhd")</f>
        <v>Kee Sung Agriculture (M) Sdn Bhd</v>
      </c>
      <c r="H10" s="36">
        <f>IFERROR(__xludf.DUMMYFUNCTION("""COMPUTED_VALUE"""),14600.0)</f>
        <v>14600</v>
      </c>
      <c r="I10" s="37">
        <f>IFERROR(__xludf.DUMMYFUNCTION("""COMPUTED_VALUE"""),1.6)</f>
        <v>1.6</v>
      </c>
      <c r="J10" s="36">
        <f>IFERROR(__xludf.DUMMYFUNCTION("""COMPUTED_VALUE"""),601.0)</f>
        <v>601</v>
      </c>
      <c r="K10" s="38">
        <f>IFERROR(__xludf.DUMMYFUNCTION("""COMPUTED_VALUE"""),0.041164383561643834)</f>
        <v>0.04116438356</v>
      </c>
      <c r="L10" s="38">
        <f>IFERROR(__xludf.DUMMYFUNCTION("""COMPUTED_VALUE"""),0.9588356164383561)</f>
        <v>0.9588356164</v>
      </c>
      <c r="M10" s="39">
        <f>IFERROR(__xludf.DUMMYFUNCTION("""COMPUTED_VALUE"""),35.0)</f>
        <v>35</v>
      </c>
      <c r="N10" s="36">
        <f>IFERROR(__xludf.DUMMYFUNCTION("""COMPUTED_VALUE"""),1000.69992)</f>
        <v>1000.69992</v>
      </c>
      <c r="O10" s="35">
        <f>IFERROR(__xludf.DUMMYFUNCTION("""COMPUTED_VALUE"""),1.65)</f>
        <v>1.65</v>
      </c>
      <c r="P10" s="36">
        <f>IFERROR(__xludf.DUMMYFUNCTION("""COMPUTED_VALUE"""),13999.0)</f>
        <v>13999</v>
      </c>
      <c r="Q10" s="34">
        <f>IFERROR(__xludf.DUMMYFUNCTION("""COMPUTED_VALUE"""),30324.24)</f>
        <v>30324.24</v>
      </c>
      <c r="R10" s="34">
        <f>IFERROR(__xludf.DUMMYFUNCTION("""COMPUTED_VALUE"""),2.1661718694192444)</f>
        <v>2.166171869</v>
      </c>
      <c r="S10" s="34">
        <f>IFERROR(__xludf.DUMMYFUNCTION("""COMPUTED_VALUE"""),10.289316379741411)</f>
        <v>10.28931638</v>
      </c>
      <c r="T10" s="40">
        <f>IFERROR(__xludf.DUMMYFUNCTION("""COMPUTED_VALUE"""),9.526344738909922)</f>
        <v>9.526344739</v>
      </c>
      <c r="U10" s="40">
        <f>IFERROR(__xludf.DUMMYFUNCTION("""COMPUTED_VALUE"""),0.7629716408314895)</f>
        <v>0.7629716408</v>
      </c>
      <c r="V10" s="40">
        <f>IFERROR(__xludf.DUMMYFUNCTION("""COMPUTED_VALUE"""),4.75)</f>
        <v>4.75</v>
      </c>
      <c r="W10" s="40">
        <f>IFERROR(__xludf.DUMMYFUNCTION("""COMPUTED_VALUE"""),4.3977788066576435)</f>
        <v>4.397778807</v>
      </c>
      <c r="X10" s="40">
        <f>IFERROR(__xludf.DUMMYFUNCTION("""COMPUTED_VALUE"""),0.35222119334235646)</f>
        <v>0.3522211933</v>
      </c>
      <c r="Y10" s="40">
        <f>IFERROR(__xludf.DUMMYFUNCTION("""COMPUTED_VALUE"""),0.7629716408314898)</f>
        <v>0.7629716408</v>
      </c>
      <c r="Z10" s="41">
        <f>IFERROR(__xludf.DUMMYFUNCTION("""COMPUTED_VALUE"""),314.6973848069739)</f>
        <v>314.6973848</v>
      </c>
      <c r="AA10" s="42" t="str">
        <f>IFERROR(__xludf.DUMMYFUNCTION("""COMPUTED_VALUE"""),"JUST AVERAGE")</f>
        <v>JUST AVERAGE</v>
      </c>
    </row>
    <row r="11">
      <c r="A11" s="43">
        <v>2022.0</v>
      </c>
      <c r="B11" s="44" t="s">
        <v>12</v>
      </c>
      <c r="C11" s="45" t="s">
        <v>57</v>
      </c>
      <c r="D11" s="46">
        <v>454199.97</v>
      </c>
      <c r="E11" s="46">
        <v>435150.07</v>
      </c>
      <c r="F11" s="46">
        <f t="shared" si="1"/>
        <v>19049.9</v>
      </c>
      <c r="G11" s="47" t="str">
        <f>IFERROR(__xludf.DUMMYFUNCTION("TRANSPOSE(IMPORTRANGE(""1o4Ac6NI0SfLibsumFt9f9lHwJFVrF2ykccRsQvuxGAI"", ""2022!C49:H69""))"),"Kee Sung Agriculture (M) Sdn Bhd")</f>
        <v>Kee Sung Agriculture (M) Sdn Bhd</v>
      </c>
      <c r="H11" s="48">
        <f>IFERROR(__xludf.DUMMYFUNCTION("""COMPUTED_VALUE"""),33200.0)</f>
        <v>33200</v>
      </c>
      <c r="I11" s="49">
        <f>IFERROR(__xludf.DUMMYFUNCTION("""COMPUTED_VALUE"""),2.03)</f>
        <v>2.03</v>
      </c>
      <c r="J11" s="48">
        <f>IFERROR(__xludf.DUMMYFUNCTION("""COMPUTED_VALUE"""),2690.0)</f>
        <v>2690</v>
      </c>
      <c r="K11" s="50">
        <f>IFERROR(__xludf.DUMMYFUNCTION("""COMPUTED_VALUE"""),0.08102409638554217)</f>
        <v>0.08102409639</v>
      </c>
      <c r="L11" s="50">
        <f>IFERROR(__xludf.DUMMYFUNCTION("""COMPUTED_VALUE"""),0.9189759036144578)</f>
        <v>0.9189759036</v>
      </c>
      <c r="M11" s="51">
        <f>IFERROR(__xludf.DUMMYFUNCTION("""COMPUTED_VALUE"""),35.0)</f>
        <v>35</v>
      </c>
      <c r="N11" s="48">
        <f>IFERROR(__xludf.DUMMYFUNCTION("""COMPUTED_VALUE"""),2022.7655359999999)</f>
        <v>2022.765536</v>
      </c>
      <c r="O11" s="47">
        <f>IFERROR(__xludf.DUMMYFUNCTION("""COMPUTED_VALUE"""),1.52)</f>
        <v>1.52</v>
      </c>
      <c r="P11" s="48">
        <f>IFERROR(__xludf.DUMMYFUNCTION("""COMPUTED_VALUE"""),30510.0)</f>
        <v>30510</v>
      </c>
      <c r="Q11" s="46">
        <f>IFERROR(__xludf.DUMMYFUNCTION("""COMPUTED_VALUE"""),66538.34)</f>
        <v>66538.34</v>
      </c>
      <c r="R11" s="46">
        <f>IFERROR(__xludf.DUMMYFUNCTION("""COMPUTED_VALUE"""),2.1808698787282856)</f>
        <v>2.180869879</v>
      </c>
      <c r="S11" s="46">
        <f>IFERROR(__xludf.DUMMYFUNCTION("""COMPUTED_VALUE"""),14.886921337266472)</f>
        <v>14.88692134</v>
      </c>
      <c r="T11" s="52">
        <f>IFERROR(__xludf.DUMMYFUNCTION("""COMPUTED_VALUE"""),14.262539167486068)</f>
        <v>14.26253917</v>
      </c>
      <c r="U11" s="52">
        <f>IFERROR(__xludf.DUMMYFUNCTION("""COMPUTED_VALUE"""),0.6243821697804037)</f>
        <v>0.6243821698</v>
      </c>
      <c r="V11" s="52">
        <f>IFERROR(__xludf.DUMMYFUNCTION("""COMPUTED_VALUE"""),6.578531565410259)</f>
        <v>6.578531565</v>
      </c>
      <c r="W11" s="52">
        <f>IFERROR(__xludf.DUMMYFUNCTION("""COMPUTED_VALUE"""),6.539839587221442)</f>
        <v>6.539839587</v>
      </c>
      <c r="X11" s="52">
        <f>IFERROR(__xludf.DUMMYFUNCTION("""COMPUTED_VALUE"""),0.03869197818881709)</f>
        <v>0.03869197819</v>
      </c>
      <c r="Y11" s="52">
        <f>IFERROR(__xludf.DUMMYFUNCTION("""COMPUTED_VALUE"""),0.6243821697804025)</f>
        <v>0.6243821698</v>
      </c>
      <c r="Z11" s="53">
        <f>IFERROR(__xludf.DUMMYFUNCTION("""COMPUTED_VALUE"""),329.63270846544066)</f>
        <v>329.6327085</v>
      </c>
      <c r="AA11" s="54" t="str">
        <f>IFERROR(__xludf.DUMMYFUNCTION("""COMPUTED_VALUE"""),"JUST AVERAGE")</f>
        <v>JUST AVERAGE</v>
      </c>
    </row>
    <row r="12">
      <c r="A12" s="43">
        <v>2022.0</v>
      </c>
      <c r="B12" s="44" t="s">
        <v>12</v>
      </c>
      <c r="C12" s="45" t="s">
        <v>58</v>
      </c>
      <c r="D12" s="46">
        <v>504314.55</v>
      </c>
      <c r="E12" s="46">
        <v>485507.61</v>
      </c>
      <c r="F12" s="46">
        <f t="shared" si="1"/>
        <v>18806.94</v>
      </c>
      <c r="G12" s="47" t="str">
        <f>IFERROR(__xludf.DUMMYFUNCTION("""COMPUTED_VALUE"""),"Kee Sung Agriculture (M) Sdn Bhd")</f>
        <v>Kee Sung Agriculture (M) Sdn Bhd</v>
      </c>
      <c r="H12" s="48">
        <f>IFERROR(__xludf.DUMMYFUNCTION("""COMPUTED_VALUE"""),35900.0)</f>
        <v>35900</v>
      </c>
      <c r="I12" s="49">
        <f>IFERROR(__xludf.DUMMYFUNCTION("""COMPUTED_VALUE"""),2.03)</f>
        <v>2.03</v>
      </c>
      <c r="J12" s="48">
        <f>IFERROR(__xludf.DUMMYFUNCTION("""COMPUTED_VALUE"""),2347.0)</f>
        <v>2347</v>
      </c>
      <c r="K12" s="50">
        <f>IFERROR(__xludf.DUMMYFUNCTION("""COMPUTED_VALUE"""),0.06537604456824513)</f>
        <v>0.06537604457</v>
      </c>
      <c r="L12" s="50">
        <f>IFERROR(__xludf.DUMMYFUNCTION("""COMPUTED_VALUE"""),0.9346239554317549)</f>
        <v>0.9346239554</v>
      </c>
      <c r="M12" s="51">
        <f>IFERROR(__xludf.DUMMYFUNCTION("""COMPUTED_VALUE"""),35.0)</f>
        <v>35</v>
      </c>
      <c r="N12" s="48">
        <f>IFERROR(__xludf.DUMMYFUNCTION("""COMPUTED_VALUE"""),2238.47316)</f>
        <v>2238.47316</v>
      </c>
      <c r="O12" s="47">
        <f>IFERROR(__xludf.DUMMYFUNCTION("""COMPUTED_VALUE"""),1.61)</f>
        <v>1.61</v>
      </c>
      <c r="P12" s="48">
        <f>IFERROR(__xludf.DUMMYFUNCTION("""COMPUTED_VALUE"""),33553.0)</f>
        <v>33553</v>
      </c>
      <c r="Q12" s="46">
        <f>IFERROR(__xludf.DUMMYFUNCTION("""COMPUTED_VALUE"""),69517.8)</f>
        <v>69517.8</v>
      </c>
      <c r="R12" s="46">
        <f>IFERROR(__xludf.DUMMYFUNCTION("""COMPUTED_VALUE"""),2.071880308765237)</f>
        <v>2.071880309</v>
      </c>
      <c r="S12" s="46">
        <f>IFERROR(__xludf.DUMMYFUNCTION("""COMPUTED_VALUE"""),15.030386254582304)</f>
        <v>15.03038625</v>
      </c>
      <c r="T12" s="52">
        <f>IFERROR(__xludf.DUMMYFUNCTION("""COMPUTED_VALUE"""),14.469871844544452)</f>
        <v>14.46987184</v>
      </c>
      <c r="U12" s="52">
        <f>IFERROR(__xludf.DUMMYFUNCTION("""COMPUTED_VALUE"""),0.5605144100378521)</f>
        <v>0.56051441</v>
      </c>
      <c r="V12" s="52">
        <f>IFERROR(__xludf.DUMMYFUNCTION("""COMPUTED_VALUE"""),7.254295302785762)</f>
        <v>7.254295303</v>
      </c>
      <c r="W12" s="52">
        <f>IFERROR(__xludf.DUMMYFUNCTION("""COMPUTED_VALUE"""),6.983932316615312)</f>
        <v>6.983932317</v>
      </c>
      <c r="X12" s="52">
        <f>IFERROR(__xludf.DUMMYFUNCTION("""COMPUTED_VALUE"""),0.27036298617044974)</f>
        <v>0.2703629862</v>
      </c>
      <c r="Y12" s="52">
        <f>IFERROR(__xludf.DUMMYFUNCTION("""COMPUTED_VALUE"""),0.5605144100378524)</f>
        <v>0.56051441</v>
      </c>
      <c r="Z12" s="53">
        <f>IFERROR(__xludf.DUMMYFUNCTION("""COMPUTED_VALUE"""),300.6877281613869)</f>
        <v>300.6877282</v>
      </c>
      <c r="AA12" s="54" t="str">
        <f>IFERROR(__xludf.DUMMYFUNCTION("""COMPUTED_VALUE"""),"VERY BAD")</f>
        <v>VERY BAD</v>
      </c>
    </row>
    <row r="13">
      <c r="A13" s="43">
        <v>2022.0</v>
      </c>
      <c r="B13" s="44" t="s">
        <v>12</v>
      </c>
      <c r="C13" s="45" t="s">
        <v>59</v>
      </c>
      <c r="D13" s="46">
        <v>522560.9</v>
      </c>
      <c r="E13" s="46">
        <v>460750.19</v>
      </c>
      <c r="F13" s="46">
        <f t="shared" si="1"/>
        <v>61810.71</v>
      </c>
      <c r="G13" s="47" t="str">
        <f>IFERROR(__xludf.DUMMYFUNCTION("""COMPUTED_VALUE"""),"Kee Sung Agriculture (M) Sdn Bhd")</f>
        <v>Kee Sung Agriculture (M) Sdn Bhd</v>
      </c>
      <c r="H13" s="48">
        <f>IFERROR(__xludf.DUMMYFUNCTION("""COMPUTED_VALUE"""),34000.0)</f>
        <v>34000</v>
      </c>
      <c r="I13" s="49">
        <f>IFERROR(__xludf.DUMMYFUNCTION("""COMPUTED_VALUE"""),2.03)</f>
        <v>2.03</v>
      </c>
      <c r="J13" s="48">
        <f>IFERROR(__xludf.DUMMYFUNCTION("""COMPUTED_VALUE"""),1722.0)</f>
        <v>1722</v>
      </c>
      <c r="K13" s="50">
        <f>IFERROR(__xludf.DUMMYFUNCTION("""COMPUTED_VALUE"""),0.05064705882352941)</f>
        <v>0.05064705882</v>
      </c>
      <c r="L13" s="50">
        <f>IFERROR(__xludf.DUMMYFUNCTION("""COMPUTED_VALUE"""),0.9493529411764706)</f>
        <v>0.9493529412</v>
      </c>
      <c r="M13" s="51">
        <f>IFERROR(__xludf.DUMMYFUNCTION("""COMPUTED_VALUE"""),35.0)</f>
        <v>35</v>
      </c>
      <c r="N13" s="48">
        <f>IFERROR(__xludf.DUMMYFUNCTION("""COMPUTED_VALUE"""),2223.587556)</f>
        <v>2223.587556</v>
      </c>
      <c r="O13" s="47">
        <f>IFERROR(__xludf.DUMMYFUNCTION("""COMPUTED_VALUE"""),1.71)</f>
        <v>1.71</v>
      </c>
      <c r="P13" s="48">
        <f>IFERROR(__xludf.DUMMYFUNCTION("""COMPUTED_VALUE"""),32278.0)</f>
        <v>32278</v>
      </c>
      <c r="Q13" s="46">
        <f>IFERROR(__xludf.DUMMYFUNCTION("""COMPUTED_VALUE"""),65017.18)</f>
        <v>65017.18</v>
      </c>
      <c r="R13" s="46">
        <f>IFERROR(__xludf.DUMMYFUNCTION("""COMPUTED_VALUE"""),2.0142877501703946)</f>
        <v>2.01428775</v>
      </c>
      <c r="S13" s="46">
        <f>IFERROR(__xludf.DUMMYFUNCTION("""COMPUTED_VALUE"""),16.18938286139166)</f>
        <v>16.18938286</v>
      </c>
      <c r="T13" s="46">
        <f>IFERROR(__xludf.DUMMYFUNCTION("""COMPUTED_VALUE"""),14.27443428960902)</f>
        <v>14.27443429</v>
      </c>
      <c r="U13" s="46">
        <f>IFERROR(__xludf.DUMMYFUNCTION("""COMPUTED_VALUE"""),1.9149485717826398)</f>
        <v>1.914948572</v>
      </c>
      <c r="V13" s="46">
        <f>IFERROR(__xludf.DUMMYFUNCTION("""COMPUTED_VALUE"""),7.38703401162585)</f>
        <v>7.387034012</v>
      </c>
      <c r="W13" s="52">
        <f>IFERROR(__xludf.DUMMYFUNCTION("""COMPUTED_VALUE"""),7.086591420913671)</f>
        <v>7.086591421</v>
      </c>
      <c r="X13" s="52">
        <f>IFERROR(__xludf.DUMMYFUNCTION("""COMPUTED_VALUE"""),0.30044259071217905)</f>
        <v>0.3004425907</v>
      </c>
      <c r="Y13" s="52">
        <f>IFERROR(__xludf.DUMMYFUNCTION("""COMPUTED_VALUE"""),1.9149485717826409)</f>
        <v>1.914948572</v>
      </c>
      <c r="Z13" s="53">
        <f>IFERROR(__xludf.DUMMYFUNCTION("""COMPUTED_VALUE"""),279.57163742690057)</f>
        <v>279.5716374</v>
      </c>
      <c r="AA13" s="54" t="str">
        <f>IFERROR(__xludf.DUMMYFUNCTION("""COMPUTED_VALUE"""),"VERY GOOD")</f>
        <v>VERY GOOD</v>
      </c>
    </row>
    <row r="14">
      <c r="A14" s="43">
        <v>2022.0</v>
      </c>
      <c r="B14" s="44" t="s">
        <v>12</v>
      </c>
      <c r="C14" s="45" t="s">
        <v>60</v>
      </c>
      <c r="D14" s="46">
        <v>442110.14</v>
      </c>
      <c r="E14" s="46">
        <v>426068.25</v>
      </c>
      <c r="F14" s="46">
        <f t="shared" si="1"/>
        <v>16041.89</v>
      </c>
      <c r="G14" s="47" t="str">
        <f>IFERROR(__xludf.DUMMYFUNCTION("""COMPUTED_VALUE"""),"Kee Sung Agriculture (M) Sdn Bhd")</f>
        <v>Kee Sung Agriculture (M) Sdn Bhd</v>
      </c>
      <c r="H14" s="48">
        <f>IFERROR(__xludf.DUMMYFUNCTION("""COMPUTED_VALUE"""),37500.0)</f>
        <v>37500</v>
      </c>
      <c r="I14" s="49">
        <f>IFERROR(__xludf.DUMMYFUNCTION("""COMPUTED_VALUE"""),2.03)</f>
        <v>2.03</v>
      </c>
      <c r="J14" s="48">
        <f>IFERROR(__xludf.DUMMYFUNCTION("""COMPUTED_VALUE"""),2541.0)</f>
        <v>2541</v>
      </c>
      <c r="K14" s="50">
        <f>IFERROR(__xludf.DUMMYFUNCTION("""COMPUTED_VALUE"""),0.06776)</f>
        <v>0.06776</v>
      </c>
      <c r="L14" s="50">
        <f>IFERROR(__xludf.DUMMYFUNCTION("""COMPUTED_VALUE"""),0.93224)</f>
        <v>0.93224</v>
      </c>
      <c r="M14" s="51">
        <f>IFERROR(__xludf.DUMMYFUNCTION("""COMPUTED_VALUE"""),35.0)</f>
        <v>35</v>
      </c>
      <c r="N14" s="48">
        <f>IFERROR(__xludf.DUMMYFUNCTION("""COMPUTED_VALUE"""),2028.0994999999998)</f>
        <v>2028.0995</v>
      </c>
      <c r="O14" s="47">
        <f>IFERROR(__xludf.DUMMYFUNCTION("""COMPUTED_VALUE"""),1.75)</f>
        <v>1.75</v>
      </c>
      <c r="P14" s="48">
        <f>IFERROR(__xludf.DUMMYFUNCTION("""COMPUTED_VALUE"""),31959.0)</f>
        <v>31959</v>
      </c>
      <c r="Q14" s="46">
        <f>IFERROR(__xludf.DUMMYFUNCTION("""COMPUTED_VALUE"""),57945.7)</f>
        <v>57945.7</v>
      </c>
      <c r="R14" s="46">
        <f>IFERROR(__xludf.DUMMYFUNCTION("""COMPUTED_VALUE"""),1.8131261929346976)</f>
        <v>1.813126193</v>
      </c>
      <c r="S14" s="46">
        <f>IFERROR(__xludf.DUMMYFUNCTION("""COMPUTED_VALUE"""),15.106242998842268)</f>
        <v>15.106243</v>
      </c>
      <c r="T14" s="46">
        <f>IFERROR(__xludf.DUMMYFUNCTION("""COMPUTED_VALUE"""),13.331714071153664)</f>
        <v>13.33171407</v>
      </c>
      <c r="U14" s="46">
        <f>IFERROR(__xludf.DUMMYFUNCTION("""COMPUTED_VALUE"""),1.7745289276886034)</f>
        <v>1.774528928</v>
      </c>
      <c r="V14" s="46">
        <f>IFERROR(__xludf.DUMMYFUNCTION("""COMPUTED_VALUE"""),7.629731628058683)</f>
        <v>7.629731628</v>
      </c>
      <c r="W14" s="46">
        <f>IFERROR(__xludf.DUMMYFUNCTION("""COMPUTED_VALUE"""),7.352888134926318)</f>
        <v>7.352888135</v>
      </c>
      <c r="X14" s="52">
        <f>IFERROR(__xludf.DUMMYFUNCTION("""COMPUTED_VALUE"""),0.27684349313236467)</f>
        <v>0.2768434931</v>
      </c>
      <c r="Y14" s="52">
        <f>IFERROR(__xludf.DUMMYFUNCTION("""COMPUTED_VALUE"""),0.5019521887418277)</f>
        <v>0.5019521887</v>
      </c>
      <c r="Z14" s="53">
        <f>IFERROR(__xludf.DUMMYFUNCTION("""COMPUTED_VALUE"""),220.7455238095238)</f>
        <v>220.7455238</v>
      </c>
      <c r="AA14" s="54" t="str">
        <f>IFERROR(__xludf.DUMMYFUNCTION("""COMPUTED_VALUE"""),"VERY BAD")</f>
        <v>VERY BAD</v>
      </c>
    </row>
    <row r="15">
      <c r="A15" s="43">
        <v>2022.0</v>
      </c>
      <c r="B15" s="44" t="s">
        <v>12</v>
      </c>
      <c r="C15" s="45" t="s">
        <v>61</v>
      </c>
      <c r="D15" s="46">
        <v>341768.96</v>
      </c>
      <c r="E15" s="46">
        <v>396587.49</v>
      </c>
      <c r="F15" s="46">
        <f t="shared" si="1"/>
        <v>-54818.53</v>
      </c>
      <c r="G15" s="47" t="str">
        <f>IFERROR(__xludf.DUMMYFUNCTION("""COMPUTED_VALUE"""),"Kee Sung Agriculture (M) Sdn Bhd")</f>
        <v>Kee Sung Agriculture (M) Sdn Bhd</v>
      </c>
      <c r="H15" s="48">
        <f>IFERROR(__xludf.DUMMYFUNCTION("""COMPUTED_VALUE"""),33000.0)</f>
        <v>33000</v>
      </c>
      <c r="I15" s="49">
        <f>IFERROR(__xludf.DUMMYFUNCTION("""COMPUTED_VALUE"""),2.03)</f>
        <v>2.03</v>
      </c>
      <c r="J15" s="48">
        <f>IFERROR(__xludf.DUMMYFUNCTION("""COMPUTED_VALUE"""),2024.0)</f>
        <v>2024</v>
      </c>
      <c r="K15" s="50">
        <f>IFERROR(__xludf.DUMMYFUNCTION("""COMPUTED_VALUE"""),0.06133333333333333)</f>
        <v>0.06133333333</v>
      </c>
      <c r="L15" s="50">
        <f>IFERROR(__xludf.DUMMYFUNCTION("""COMPUTED_VALUE"""),0.9386666666666666)</f>
        <v>0.9386666667</v>
      </c>
      <c r="M15" s="51">
        <f>IFERROR(__xludf.DUMMYFUNCTION("""COMPUTED_VALUE"""),35.0)</f>
        <v>35</v>
      </c>
      <c r="N15" s="48">
        <f>IFERROR(__xludf.DUMMYFUNCTION("""COMPUTED_VALUE"""),2218.2837600000003)</f>
        <v>2218.28376</v>
      </c>
      <c r="O15" s="47">
        <f>IFERROR(__xludf.DUMMYFUNCTION("""COMPUTED_VALUE"""),1.61)</f>
        <v>1.61</v>
      </c>
      <c r="P15" s="48">
        <f>IFERROR(__xludf.DUMMYFUNCTION("""COMPUTED_VALUE"""),30976.0)</f>
        <v>30976</v>
      </c>
      <c r="Q15" s="46">
        <f>IFERROR(__xludf.DUMMYFUNCTION("""COMPUTED_VALUE"""),68890.8)</f>
        <v>68890.8</v>
      </c>
      <c r="R15" s="46">
        <f>IFERROR(__xludf.DUMMYFUNCTION("""COMPUTED_VALUE"""),2.224005681818182)</f>
        <v>2.224005682</v>
      </c>
      <c r="S15" s="46">
        <f>IFERROR(__xludf.DUMMYFUNCTION("""COMPUTED_VALUE"""),11.033347107438017)</f>
        <v>11.03334711</v>
      </c>
      <c r="T15" s="52">
        <f>IFERROR(__xludf.DUMMYFUNCTION("""COMPUTED_VALUE"""),12.803056882747933)</f>
        <v>12.80305688</v>
      </c>
      <c r="U15" s="52">
        <f>IFERROR(__xludf.DUMMYFUNCTION("""COMPUTED_VALUE"""),-1.7697097753099165)</f>
        <v>-1.769709775</v>
      </c>
      <c r="V15" s="52">
        <f>IFERROR(__xludf.DUMMYFUNCTION("""COMPUTED_VALUE"""),4.961024694153646)</f>
        <v>4.961024694</v>
      </c>
      <c r="W15" s="52">
        <f>IFERROR(__xludf.DUMMYFUNCTION("""COMPUTED_VALUE"""),5.756755473880402)</f>
        <v>5.756755474</v>
      </c>
      <c r="X15" s="52">
        <f>IFERROR(__xludf.DUMMYFUNCTION("""COMPUTED_VALUE"""),-0.7957307797267559)</f>
        <v>-0.7957307797</v>
      </c>
      <c r="Y15" s="52">
        <f>IFERROR(__xludf.DUMMYFUNCTION("""COMPUTED_VALUE"""),-1.7697097753099165)</f>
        <v>-1.769709775</v>
      </c>
      <c r="Z15" s="53">
        <f>IFERROR(__xludf.DUMMYFUNCTION("""COMPUTED_VALUE"""),324.1614906832298)</f>
        <v>324.1614907</v>
      </c>
      <c r="AA15" s="54" t="str">
        <f>IFERROR(__xludf.DUMMYFUNCTION("""COMPUTED_VALUE"""),"VERY BAD")</f>
        <v>VERY BAD</v>
      </c>
    </row>
    <row r="16">
      <c r="A16" s="43">
        <v>2022.0</v>
      </c>
      <c r="B16" s="44" t="s">
        <v>12</v>
      </c>
      <c r="C16" s="45" t="s">
        <v>62</v>
      </c>
      <c r="D16" s="46">
        <v>468358.18</v>
      </c>
      <c r="E16" s="46">
        <v>407561.21</v>
      </c>
      <c r="F16" s="46">
        <f t="shared" si="1"/>
        <v>60796.97</v>
      </c>
      <c r="G16" s="47" t="str">
        <f>IFERROR(__xludf.DUMMYFUNCTION("""COMPUTED_VALUE"""),"Kee Sung Agriculture (M) Sdn Bhd")</f>
        <v>Kee Sung Agriculture (M) Sdn Bhd</v>
      </c>
      <c r="H16" s="48">
        <f>IFERROR(__xludf.DUMMYFUNCTION("""COMPUTED_VALUE"""),35600.0)</f>
        <v>35600</v>
      </c>
      <c r="I16" s="49">
        <f>IFERROR(__xludf.DUMMYFUNCTION("""COMPUTED_VALUE"""),2.03)</f>
        <v>2.03</v>
      </c>
      <c r="J16" s="48">
        <f>IFERROR(__xludf.DUMMYFUNCTION("""COMPUTED_VALUE"""),1550.0)</f>
        <v>1550</v>
      </c>
      <c r="K16" s="50">
        <f>IFERROR(__xludf.DUMMYFUNCTION("""COMPUTED_VALUE"""),0.04353932584269663)</f>
        <v>0.04353932584</v>
      </c>
      <c r="L16" s="50">
        <f>IFERROR(__xludf.DUMMYFUNCTION("""COMPUTED_VALUE"""),0.9564606741573034)</f>
        <v>0.9564606742</v>
      </c>
      <c r="M16" s="51">
        <f>IFERROR(__xludf.DUMMYFUNCTION("""COMPUTED_VALUE"""),35.0)</f>
        <v>35</v>
      </c>
      <c r="N16" s="48">
        <f>IFERROR(__xludf.DUMMYFUNCTION("""COMPUTED_VALUE"""),2402.4894600000002)</f>
        <v>2402.48946</v>
      </c>
      <c r="O16" s="47">
        <f>IFERROR(__xludf.DUMMYFUNCTION("""COMPUTED_VALUE"""),1.55)</f>
        <v>1.55</v>
      </c>
      <c r="P16" s="48">
        <f>IFERROR(__xludf.DUMMYFUNCTION("""COMPUTED_VALUE"""),34050.0)</f>
        <v>34050</v>
      </c>
      <c r="Q16" s="46">
        <f>IFERROR(__xludf.DUMMYFUNCTION("""COMPUTED_VALUE"""),77499.66)</f>
        <v>77499.66</v>
      </c>
      <c r="R16" s="46">
        <f>IFERROR(__xludf.DUMMYFUNCTION("""COMPUTED_VALUE"""),2.276054625550661)</f>
        <v>2.276054626</v>
      </c>
      <c r="S16" s="46">
        <f>IFERROR(__xludf.DUMMYFUNCTION("""COMPUTED_VALUE"""),13.755012628487519)</f>
        <v>13.75501263</v>
      </c>
      <c r="T16" s="52">
        <f>IFERROR(__xludf.DUMMYFUNCTION("""COMPUTED_VALUE"""),11.96949221732746)</f>
        <v>11.96949222</v>
      </c>
      <c r="U16" s="52">
        <f>IFERROR(__xludf.DUMMYFUNCTION("""COMPUTED_VALUE"""),1.7855204111600589)</f>
        <v>1.785520411</v>
      </c>
      <c r="V16" s="52">
        <f>IFERROR(__xludf.DUMMYFUNCTION("""COMPUTED_VALUE"""),5.969130187151788)</f>
        <v>5.969130187</v>
      </c>
      <c r="W16" s="52">
        <f>IFERROR(__xludf.DUMMYFUNCTION("""COMPUTED_VALUE"""),5.2588773937846955)</f>
        <v>5.258877394</v>
      </c>
      <c r="X16" s="52">
        <f>IFERROR(__xludf.DUMMYFUNCTION("""COMPUTED_VALUE"""),0.7102527933670926)</f>
        <v>0.7102527934</v>
      </c>
      <c r="Y16" s="52">
        <f>IFERROR(__xludf.DUMMYFUNCTION("""COMPUTED_VALUE"""),1.785520411160058)</f>
        <v>1.785520411</v>
      </c>
      <c r="Z16" s="53">
        <f>IFERROR(__xludf.DUMMYFUNCTION("""COMPUTED_VALUE"""),351.12205509242483)</f>
        <v>351.1220551</v>
      </c>
      <c r="AA16" s="54" t="str">
        <f>IFERROR(__xludf.DUMMYFUNCTION("""COMPUTED_VALUE"""),"VERY GOOD")</f>
        <v>VERY GOOD</v>
      </c>
    </row>
    <row r="17">
      <c r="A17" s="43">
        <v>2022.0</v>
      </c>
      <c r="B17" s="44" t="s">
        <v>17</v>
      </c>
      <c r="C17" s="45" t="s">
        <v>57</v>
      </c>
      <c r="D17" s="46">
        <f>IFERROR(__xludf.DUMMYFUNCTION("TRANSPOSE(IMPORTRANGE(""1OP-qxVLNURBqstk-WZQd8qB2vYxDQLc8s35zWl_CMzo"", ""2022!C12:G12""))"),291722.02)</f>
        <v>291722.02</v>
      </c>
      <c r="E17" s="46">
        <f>IFERROR(__xludf.DUMMYFUNCTION("TRANSPOSE(IMPORTRANGE(""1OP-qxVLNURBqstk-WZQd8qB2vYxDQLc8s35zWl_CMzo"", ""2022!C41:G41""))"),283962.29999999993)</f>
        <v>283962.3</v>
      </c>
      <c r="F17" s="46">
        <f t="shared" si="1"/>
        <v>7759.72</v>
      </c>
      <c r="G17" s="48" t="str">
        <f>IFERROR(__xludf.DUMMYFUNCTION("TRANSPOSE(IMPORTRANGE(""1OP-qxVLNURBqstk-WZQd8qB2vYxDQLc8s35zWl_CMzo"", ""2022!C49:G69""))"),"Kee Sung Agriculture (M) Sdn Bhd")</f>
        <v>Kee Sung Agriculture (M) Sdn Bhd</v>
      </c>
      <c r="H17" s="48">
        <f>IFERROR(__xludf.DUMMYFUNCTION("""COMPUTED_VALUE"""),28300.0)</f>
        <v>28300</v>
      </c>
      <c r="I17" s="49">
        <f>IFERROR(__xludf.DUMMYFUNCTION("""COMPUTED_VALUE"""),1.83)</f>
        <v>1.83</v>
      </c>
      <c r="J17" s="48">
        <f>IFERROR(__xludf.DUMMYFUNCTION("""COMPUTED_VALUE"""),1408.0)</f>
        <v>1408</v>
      </c>
      <c r="K17" s="50">
        <f>IFERROR(__xludf.DUMMYFUNCTION("""COMPUTED_VALUE"""),0.049752650176678445)</f>
        <v>0.04975265018</v>
      </c>
      <c r="L17" s="50">
        <f>IFERROR(__xludf.DUMMYFUNCTION("""COMPUTED_VALUE"""),0.9502473498233216)</f>
        <v>0.9502473498</v>
      </c>
      <c r="M17" s="51">
        <f>IFERROR(__xludf.DUMMYFUNCTION("""COMPUTED_VALUE"""),35.0)</f>
        <v>35</v>
      </c>
      <c r="N17" s="48">
        <f>IFERROR(__xludf.DUMMYFUNCTION("""COMPUTED_VALUE"""),1891.3968)</f>
        <v>1891.3968</v>
      </c>
      <c r="O17" s="47">
        <f>IFERROR(__xludf.DUMMYFUNCTION("""COMPUTED_VALUE"""),1.71)</f>
        <v>1.71</v>
      </c>
      <c r="P17" s="48">
        <f>IFERROR(__xludf.DUMMYFUNCTION("""COMPUTED_VALUE"""),26892.0)</f>
        <v>26892</v>
      </c>
      <c r="Q17" s="46">
        <f>IFERROR(__xludf.DUMMYFUNCTION("""COMPUTED_VALUE"""),55304.0)</f>
        <v>55304</v>
      </c>
      <c r="R17" s="46">
        <f>IFERROR(__xludf.DUMMYFUNCTION("""COMPUTED_VALUE"""),2.056522385839655)</f>
        <v>2.056522386</v>
      </c>
      <c r="S17" s="46">
        <f>IFERROR(__xludf.DUMMYFUNCTION("""COMPUTED_VALUE"""),10.847910902870742)</f>
        <v>10.8479109</v>
      </c>
      <c r="T17" s="52">
        <f>IFERROR(__xludf.DUMMYFUNCTION("""COMPUTED_VALUE"""),10.559359660865683)</f>
        <v>10.55935966</v>
      </c>
      <c r="U17" s="52">
        <f>IFERROR(__xludf.DUMMYFUNCTION("""COMPUTED_VALUE"""),0.28855124200505955)</f>
        <v>0.288551242</v>
      </c>
      <c r="V17" s="52">
        <f>IFERROR(__xludf.DUMMYFUNCTION("""COMPUTED_VALUE"""),5.274881021264285)</f>
        <v>5.274881021</v>
      </c>
      <c r="W17" s="52">
        <f>IFERROR(__xludf.DUMMYFUNCTION("""COMPUTED_VALUE"""),5.134570736293938)</f>
        <v>5.134570736</v>
      </c>
      <c r="X17" s="52">
        <f>IFERROR(__xludf.DUMMYFUNCTION("""COMPUTED_VALUE"""),0.14031028497034725)</f>
        <v>0.140310285</v>
      </c>
      <c r="Y17" s="52">
        <f>IFERROR(__xludf.DUMMYFUNCTION("""COMPUTED_VALUE"""),0.28855124200506055)</f>
        <v>0.288551242</v>
      </c>
      <c r="Z17" s="53">
        <f>IFERROR(__xludf.DUMMYFUNCTION("""COMPUTED_VALUE"""),285.7024776310623)</f>
        <v>285.7024776</v>
      </c>
      <c r="AA17" s="54" t="str">
        <f>IFERROR(__xludf.DUMMYFUNCTION("""COMPUTED_VALUE"""),"VERY BAD")</f>
        <v>VERY BAD</v>
      </c>
    </row>
    <row r="18">
      <c r="A18" s="43">
        <v>2022.0</v>
      </c>
      <c r="B18" s="44" t="s">
        <v>17</v>
      </c>
      <c r="C18" s="45" t="s">
        <v>58</v>
      </c>
      <c r="D18" s="46">
        <f>IFERROR(__xludf.DUMMYFUNCTION("""COMPUTED_VALUE"""),319701.07)</f>
        <v>319701.07</v>
      </c>
      <c r="E18" s="46">
        <f>IFERROR(__xludf.DUMMYFUNCTION("""COMPUTED_VALUE"""),298085.95)</f>
        <v>298085.95</v>
      </c>
      <c r="F18" s="46">
        <f t="shared" si="1"/>
        <v>21615.12</v>
      </c>
      <c r="G18" s="48" t="str">
        <f>IFERROR(__xludf.DUMMYFUNCTION("""COMPUTED_VALUE"""),"Kee Sung Agriculture (M) Sdn Bhd")</f>
        <v>Kee Sung Agriculture (M) Sdn Bhd</v>
      </c>
      <c r="H18" s="48">
        <f>IFERROR(__xludf.DUMMYFUNCTION("""COMPUTED_VALUE"""),29200.0)</f>
        <v>29200</v>
      </c>
      <c r="I18" s="49">
        <f>IFERROR(__xludf.DUMMYFUNCTION("""COMPUTED_VALUE"""),1.83)</f>
        <v>1.83</v>
      </c>
      <c r="J18" s="48">
        <f>IFERROR(__xludf.DUMMYFUNCTION("""COMPUTED_VALUE"""),1558.0)</f>
        <v>1558</v>
      </c>
      <c r="K18" s="50">
        <f>IFERROR(__xludf.DUMMYFUNCTION("""COMPUTED_VALUE"""),0.053356164383561645)</f>
        <v>0.05335616438</v>
      </c>
      <c r="L18" s="50">
        <f>IFERROR(__xludf.DUMMYFUNCTION("""COMPUTED_VALUE"""),0.9466438356164384)</f>
        <v>0.9466438356</v>
      </c>
      <c r="M18" s="51">
        <f>IFERROR(__xludf.DUMMYFUNCTION("""COMPUTED_VALUE"""),35.0)</f>
        <v>35</v>
      </c>
      <c r="N18" s="48">
        <f>IFERROR(__xludf.DUMMYFUNCTION("""COMPUTED_VALUE"""),1965.0)</f>
        <v>1965</v>
      </c>
      <c r="O18" s="47">
        <f>IFERROR(__xludf.DUMMYFUNCTION("""COMPUTED_VALUE"""),1.61)</f>
        <v>1.61</v>
      </c>
      <c r="P18" s="48">
        <f>IFERROR(__xludf.DUMMYFUNCTION("""COMPUTED_VALUE"""),27642.0)</f>
        <v>27642</v>
      </c>
      <c r="Q18" s="46">
        <f>IFERROR(__xludf.DUMMYFUNCTION("""COMPUTED_VALUE"""),60864.96)</f>
        <v>60864.96</v>
      </c>
      <c r="R18" s="46">
        <f>IFERROR(__xludf.DUMMYFUNCTION("""COMPUTED_VALUE"""),2.2)</f>
        <v>2.2</v>
      </c>
      <c r="S18" s="46">
        <f>IFERROR(__xludf.DUMMYFUNCTION("""COMPUTED_VALUE"""),11.565772013602489)</f>
        <v>11.56577201</v>
      </c>
      <c r="T18" s="52">
        <f>IFERROR(__xludf.DUMMYFUNCTION("""COMPUTED_VALUE"""),10.783805440995588)</f>
        <v>10.78380544</v>
      </c>
      <c r="U18" s="52">
        <f>IFERROR(__xludf.DUMMYFUNCTION("""COMPUTED_VALUE"""),0.7819665726069012)</f>
        <v>0.7819665726</v>
      </c>
      <c r="V18" s="52">
        <f>IFERROR(__xludf.DUMMYFUNCTION("""COMPUTED_VALUE"""),5.252629263208257)</f>
        <v>5.252629263</v>
      </c>
      <c r="W18" s="52">
        <f>IFERROR(__xludf.DUMMYFUNCTION("""COMPUTED_VALUE"""),4.897496852047549)</f>
        <v>4.897496852</v>
      </c>
      <c r="X18" s="52">
        <f>IFERROR(__xludf.DUMMYFUNCTION("""COMPUTED_VALUE"""),0.3551324111607075)</f>
        <v>0.3551324112</v>
      </c>
      <c r="Y18" s="52">
        <f>IFERROR(__xludf.DUMMYFUNCTION("""COMPUTED_VALUE"""),0.7819665726069024)</f>
        <v>0.7819665726</v>
      </c>
      <c r="Z18" s="53">
        <f>IFERROR(__xludf.DUMMYFUNCTION("""COMPUTED_VALUE"""),323.38764570747895)</f>
        <v>323.3876457</v>
      </c>
      <c r="AA18" s="54" t="str">
        <f>IFERROR(__xludf.DUMMYFUNCTION("""COMPUTED_VALUE"""),"JUST AVERAGE")</f>
        <v>JUST AVERAGE</v>
      </c>
    </row>
    <row r="19">
      <c r="A19" s="43">
        <v>2022.0</v>
      </c>
      <c r="B19" s="44" t="s">
        <v>17</v>
      </c>
      <c r="C19" s="45" t="s">
        <v>59</v>
      </c>
      <c r="D19" s="46">
        <f>IFERROR(__xludf.DUMMYFUNCTION("""COMPUTED_VALUE"""),418665.73)</f>
        <v>418665.73</v>
      </c>
      <c r="E19" s="46">
        <f>IFERROR(__xludf.DUMMYFUNCTION("""COMPUTED_VALUE"""),378282.29000000004)</f>
        <v>378282.29</v>
      </c>
      <c r="F19" s="46">
        <f t="shared" si="1"/>
        <v>40383.44</v>
      </c>
      <c r="G19" s="48" t="str">
        <f>IFERROR(__xludf.DUMMYFUNCTION("""COMPUTED_VALUE"""),"Chop Cheong Bee Sdn Bhd")</f>
        <v>Chop Cheong Bee Sdn Bhd</v>
      </c>
      <c r="H19" s="48">
        <f>IFERROR(__xludf.DUMMYFUNCTION("""COMPUTED_VALUE"""),29200.0)</f>
        <v>29200</v>
      </c>
      <c r="I19" s="49">
        <f>IFERROR(__xludf.DUMMYFUNCTION("""COMPUTED_VALUE"""),2.03)</f>
        <v>2.03</v>
      </c>
      <c r="J19" s="48">
        <f>IFERROR(__xludf.DUMMYFUNCTION("""COMPUTED_VALUE"""),1570.0)</f>
        <v>1570</v>
      </c>
      <c r="K19" s="50">
        <f>IFERROR(__xludf.DUMMYFUNCTION("""COMPUTED_VALUE"""),0.053767123287671234)</f>
        <v>0.05376712329</v>
      </c>
      <c r="L19" s="50">
        <f>IFERROR(__xludf.DUMMYFUNCTION("""COMPUTED_VALUE"""),0.9462328767123288)</f>
        <v>0.9462328767</v>
      </c>
      <c r="M19" s="51">
        <f>IFERROR(__xludf.DUMMYFUNCTION("""COMPUTED_VALUE"""),35.0)</f>
        <v>35</v>
      </c>
      <c r="N19" s="48">
        <f>IFERROR(__xludf.DUMMYFUNCTION("""COMPUTED_VALUE"""),2118.0)</f>
        <v>2118</v>
      </c>
      <c r="O19" s="49">
        <f>IFERROR(__xludf.DUMMYFUNCTION("""COMPUTED_VALUE"""),1.6)</f>
        <v>1.6</v>
      </c>
      <c r="P19" s="48">
        <f>IFERROR(__xludf.DUMMYFUNCTION("""COMPUTED_VALUE"""),27630.0)</f>
        <v>27630</v>
      </c>
      <c r="Q19" s="46">
        <f>IFERROR(__xludf.DUMMYFUNCTION("""COMPUTED_VALUE"""),66049.08)</f>
        <v>66049.08</v>
      </c>
      <c r="R19" s="46">
        <f>IFERROR(__xludf.DUMMYFUNCTION("""COMPUTED_VALUE"""),2.390484256243214)</f>
        <v>2.390484256</v>
      </c>
      <c r="S19" s="46">
        <f>IFERROR(__xludf.DUMMYFUNCTION("""COMPUTED_VALUE"""),15.152577994933043)</f>
        <v>15.15257799</v>
      </c>
      <c r="T19" s="52">
        <f>IFERROR(__xludf.DUMMYFUNCTION("""COMPUTED_VALUE"""),13.690998552298227)</f>
        <v>13.69099855</v>
      </c>
      <c r="U19" s="52">
        <f>IFERROR(__xludf.DUMMYFUNCTION("""COMPUTED_VALUE"""),1.4615794426348163)</f>
        <v>1.461579443</v>
      </c>
      <c r="V19" s="52">
        <f>IFERROR(__xludf.DUMMYFUNCTION("""COMPUTED_VALUE"""),6.154146734519239)</f>
        <v>6.154146735</v>
      </c>
      <c r="W19" s="52">
        <f>IFERROR(__xludf.DUMMYFUNCTION("""COMPUTED_VALUE"""),5.727290826760949)</f>
        <v>5.727290827</v>
      </c>
      <c r="X19" s="52">
        <f>IFERROR(__xludf.DUMMYFUNCTION("""COMPUTED_VALUE"""),0.4268559077582905)</f>
        <v>0.4268559078</v>
      </c>
      <c r="Y19" s="52">
        <f>IFERROR(__xludf.DUMMYFUNCTION("""COMPUTED_VALUE"""),1.4615794426348152)</f>
        <v>1.461579443</v>
      </c>
      <c r="Z19" s="53">
        <f>IFERROR(__xludf.DUMMYFUNCTION("""COMPUTED_VALUE"""),353.4304366438356)</f>
        <v>353.4304366</v>
      </c>
      <c r="AA19" s="54" t="str">
        <f>IFERROR(__xludf.DUMMYFUNCTION("""COMPUTED_VALUE"""),"VERY GOOD")</f>
        <v>VERY GOOD</v>
      </c>
    </row>
    <row r="20">
      <c r="A20" s="43">
        <v>2022.0</v>
      </c>
      <c r="B20" s="44" t="s">
        <v>17</v>
      </c>
      <c r="C20" s="45" t="s">
        <v>60</v>
      </c>
      <c r="D20" s="46">
        <f>IFERROR(__xludf.DUMMYFUNCTION("""COMPUTED_VALUE"""),367791.55)</f>
        <v>367791.55</v>
      </c>
      <c r="E20" s="46">
        <f>IFERROR(__xludf.DUMMYFUNCTION("""COMPUTED_VALUE"""),346213.6)</f>
        <v>346213.6</v>
      </c>
      <c r="F20" s="46">
        <f t="shared" si="1"/>
        <v>21577.95</v>
      </c>
      <c r="G20" s="48" t="str">
        <f>IFERROR(__xludf.DUMMYFUNCTION("""COMPUTED_VALUE"""),"Chop Cheong Bee Sdn Bhd")</f>
        <v>Chop Cheong Bee Sdn Bhd</v>
      </c>
      <c r="H20" s="48">
        <f>IFERROR(__xludf.DUMMYFUNCTION("""COMPUTED_VALUE"""),29200.0)</f>
        <v>29200</v>
      </c>
      <c r="I20" s="49">
        <f>IFERROR(__xludf.DUMMYFUNCTION("""COMPUTED_VALUE"""),2.03)</f>
        <v>2.03</v>
      </c>
      <c r="J20" s="48">
        <f>IFERROR(__xludf.DUMMYFUNCTION("""COMPUTED_VALUE"""),1766.0)</f>
        <v>1766</v>
      </c>
      <c r="K20" s="50">
        <f>IFERROR(__xludf.DUMMYFUNCTION("""COMPUTED_VALUE"""),0.06047945205479452)</f>
        <v>0.06047945205</v>
      </c>
      <c r="L20" s="50">
        <f>IFERROR(__xludf.DUMMYFUNCTION("""COMPUTED_VALUE"""),0.9395205479452055)</f>
        <v>0.9395205479</v>
      </c>
      <c r="M20" s="51">
        <f>IFERROR(__xludf.DUMMYFUNCTION("""COMPUTED_VALUE"""),35.0)</f>
        <v>35</v>
      </c>
      <c r="N20" s="48">
        <f>IFERROR(__xludf.DUMMYFUNCTION("""COMPUTED_VALUE"""),2057.0)</f>
        <v>2057</v>
      </c>
      <c r="O20" s="47">
        <f>IFERROR(__xludf.DUMMYFUNCTION("""COMPUTED_VALUE"""),1.72)</f>
        <v>1.72</v>
      </c>
      <c r="P20" s="48">
        <f>IFERROR(__xludf.DUMMYFUNCTION("""COMPUTED_VALUE"""),27434.0)</f>
        <v>27434</v>
      </c>
      <c r="Q20" s="46">
        <f>IFERROR(__xludf.DUMMYFUNCTION("""COMPUTED_VALUE"""),59639.58)</f>
        <v>59639.58</v>
      </c>
      <c r="R20" s="46">
        <f>IFERROR(__xludf.DUMMYFUNCTION("""COMPUTED_VALUE"""),2.1739294306335206)</f>
        <v>2.173929431</v>
      </c>
      <c r="S20" s="46">
        <f>IFERROR(__xludf.DUMMYFUNCTION("""COMPUTED_VALUE"""),13.406413574396733)</f>
        <v>13.40641357</v>
      </c>
      <c r="T20" s="52">
        <f>IFERROR(__xludf.DUMMYFUNCTION("""COMPUTED_VALUE"""),12.619873150105708)</f>
        <v>12.61987315</v>
      </c>
      <c r="U20" s="52">
        <f>IFERROR(__xludf.DUMMYFUNCTION("""COMPUTED_VALUE"""),0.7865404242910259)</f>
        <v>0.7865404243</v>
      </c>
      <c r="V20" s="52">
        <f>IFERROR(__xludf.DUMMYFUNCTION("""COMPUTED_VALUE"""),6.166903757538198)</f>
        <v>6.166903758</v>
      </c>
      <c r="W20" s="52">
        <f>IFERROR(__xludf.DUMMYFUNCTION("""COMPUTED_VALUE"""),5.8050978896900345)</f>
        <v>5.80509789</v>
      </c>
      <c r="X20" s="52">
        <f>IFERROR(__xludf.DUMMYFUNCTION("""COMPUTED_VALUE"""),0.3618058678481635)</f>
        <v>0.3618058678</v>
      </c>
      <c r="Y20" s="52">
        <f>IFERROR(__xludf.DUMMYFUNCTION("""COMPUTED_VALUE"""),0.7865404242910261)</f>
        <v>0.7865404243</v>
      </c>
      <c r="Z20" s="53">
        <f>IFERROR(__xludf.DUMMYFUNCTION("""COMPUTED_VALUE"""),296.8679316661357)</f>
        <v>296.8679317</v>
      </c>
      <c r="AA20" s="54" t="str">
        <f>IFERROR(__xludf.DUMMYFUNCTION("""COMPUTED_VALUE"""),"JUST AVERAGE")</f>
        <v>JUST AVERAGE</v>
      </c>
    </row>
    <row r="21">
      <c r="A21" s="43">
        <v>2022.0</v>
      </c>
      <c r="B21" s="44" t="s">
        <v>17</v>
      </c>
      <c r="C21" s="45" t="s">
        <v>61</v>
      </c>
      <c r="D21" s="46">
        <f>IFERROR(__xludf.DUMMYFUNCTION("""COMPUTED_VALUE"""),447511.4)</f>
        <v>447511.4</v>
      </c>
      <c r="E21" s="46">
        <f>IFERROR(__xludf.DUMMYFUNCTION("""COMPUTED_VALUE"""),403384.81)</f>
        <v>403384.81</v>
      </c>
      <c r="F21" s="46">
        <f t="shared" si="1"/>
        <v>44126.59</v>
      </c>
      <c r="G21" s="48" t="str">
        <f>IFERROR(__xludf.DUMMYFUNCTION("""COMPUTED_VALUE"""),"Chop Cheong Bee Sdn Bhd")</f>
        <v>Chop Cheong Bee Sdn Bhd</v>
      </c>
      <c r="H21" s="48">
        <f>IFERROR(__xludf.DUMMYFUNCTION("""COMPUTED_VALUE"""),29000.0)</f>
        <v>29000</v>
      </c>
      <c r="I21" s="49">
        <f>IFERROR(__xludf.DUMMYFUNCTION("""COMPUTED_VALUE"""),2.0)</f>
        <v>2</v>
      </c>
      <c r="J21" s="48">
        <f>IFERROR(__xludf.DUMMYFUNCTION("""COMPUTED_VALUE"""),1416.0)</f>
        <v>1416</v>
      </c>
      <c r="K21" s="50">
        <f>IFERROR(__xludf.DUMMYFUNCTION("""COMPUTED_VALUE"""),0.048827586206896555)</f>
        <v>0.04882758621</v>
      </c>
      <c r="L21" s="50">
        <f>IFERROR(__xludf.DUMMYFUNCTION("""COMPUTED_VALUE"""),0.9511724137931035)</f>
        <v>0.9511724138</v>
      </c>
      <c r="M21" s="51">
        <f>IFERROR(__xludf.DUMMYFUNCTION("""COMPUTED_VALUE"""),35.0)</f>
        <v>35</v>
      </c>
      <c r="N21" s="48">
        <f>IFERROR(__xludf.DUMMYFUNCTION("""COMPUTED_VALUE"""),2010.0)</f>
        <v>2010</v>
      </c>
      <c r="O21" s="47">
        <f>IFERROR(__xludf.DUMMYFUNCTION("""COMPUTED_VALUE"""),1.56)</f>
        <v>1.56</v>
      </c>
      <c r="P21" s="48">
        <f>IFERROR(__xludf.DUMMYFUNCTION("""COMPUTED_VALUE"""),27584.0)</f>
        <v>27584</v>
      </c>
      <c r="Q21" s="46">
        <f>IFERROR(__xludf.DUMMYFUNCTION("""COMPUTED_VALUE"""),64219.42)</f>
        <v>64219.42</v>
      </c>
      <c r="R21" s="46">
        <f>IFERROR(__xludf.DUMMYFUNCTION("""COMPUTED_VALUE"""),2.3281402262180975)</f>
        <v>2.328140226</v>
      </c>
      <c r="S21" s="46">
        <f>IFERROR(__xludf.DUMMYFUNCTION("""COMPUTED_VALUE"""),16.22358613689095)</f>
        <v>16.22358614</v>
      </c>
      <c r="T21" s="52">
        <f>IFERROR(__xludf.DUMMYFUNCTION("""COMPUTED_VALUE"""),14.623869272041762)</f>
        <v>14.62386927</v>
      </c>
      <c r="U21" s="52">
        <f>IFERROR(__xludf.DUMMYFUNCTION("""COMPUTED_VALUE"""),1.5997168648491886)</f>
        <v>1.599716865</v>
      </c>
      <c r="V21" s="52">
        <f>IFERROR(__xludf.DUMMYFUNCTION("""COMPUTED_VALUE"""),6.190220964312664)</f>
        <v>6.190220964</v>
      </c>
      <c r="W21" s="52">
        <f>IFERROR(__xludf.DUMMYFUNCTION("""COMPUTED_VALUE"""),6.281352432021342)</f>
        <v>6.281352432</v>
      </c>
      <c r="X21" s="52">
        <f>IFERROR(__xludf.DUMMYFUNCTION("""COMPUTED_VALUE"""),-0.09113146770867786)</f>
        <v>-0.09113146771</v>
      </c>
      <c r="Y21" s="52">
        <f>IFERROR(__xludf.DUMMYFUNCTION("""COMPUTED_VALUE"""),1.5997168648491888)</f>
        <v>1.599716865</v>
      </c>
      <c r="Z21" s="53">
        <f>IFERROR(__xludf.DUMMYFUNCTION("""COMPUTED_VALUE"""),354.8818523430592)</f>
        <v>354.8818523</v>
      </c>
      <c r="AA21" s="54" t="str">
        <f>IFERROR(__xludf.DUMMYFUNCTION("""COMPUTED_VALUE"""),"VERY GOOD")</f>
        <v>VERY GOOD</v>
      </c>
    </row>
    <row r="22">
      <c r="A22" s="55">
        <v>2023.0</v>
      </c>
      <c r="B22" s="56" t="s">
        <v>12</v>
      </c>
      <c r="C22" s="57" t="s">
        <v>63</v>
      </c>
      <c r="D22" s="58">
        <v>329946.46</v>
      </c>
      <c r="E22" s="58">
        <v>320721.59</v>
      </c>
      <c r="F22" s="58">
        <f t="shared" si="1"/>
        <v>9224.87</v>
      </c>
      <c r="G22" s="59" t="str">
        <f>IFERROR(__xludf.DUMMYFUNCTION("TRANSPOSE(IMPORTRANGE(""1o4Ac6NI0SfLibsumFt9f9lHwJFVrF2ykccRsQvuxGAI"", ""2023!C49:G69""))"),"Kee Sung Agriculture (M) Sdn Bhd")</f>
        <v>Kee Sung Agriculture (M) Sdn Bhd</v>
      </c>
      <c r="H22" s="60">
        <f>IFERROR(__xludf.DUMMYFUNCTION("""COMPUTED_VALUE"""),26300.0)</f>
        <v>26300</v>
      </c>
      <c r="I22" s="61">
        <f>IFERROR(__xludf.DUMMYFUNCTION("""COMPUTED_VALUE"""),2.03)</f>
        <v>2.03</v>
      </c>
      <c r="J22" s="60">
        <f>IFERROR(__xludf.DUMMYFUNCTION("""COMPUTED_VALUE"""),1526.0)</f>
        <v>1526</v>
      </c>
      <c r="K22" s="62">
        <f>IFERROR(__xludf.DUMMYFUNCTION("""COMPUTED_VALUE"""),0.05802281368821293)</f>
        <v>0.05802281369</v>
      </c>
      <c r="L22" s="62">
        <f>IFERROR(__xludf.DUMMYFUNCTION("""COMPUTED_VALUE"""),0.9419771863117871)</f>
        <v>0.9419771863</v>
      </c>
      <c r="M22" s="63">
        <f>IFERROR(__xludf.DUMMYFUNCTION("""COMPUTED_VALUE"""),35.0)</f>
        <v>35</v>
      </c>
      <c r="N22" s="60">
        <f>IFERROR(__xludf.DUMMYFUNCTION("""COMPUTED_VALUE"""),1757.9324540000002)</f>
        <v>1757.932454</v>
      </c>
      <c r="O22" s="59">
        <f>IFERROR(__xludf.DUMMYFUNCTION("""COMPUTED_VALUE"""),1.57)</f>
        <v>1.57</v>
      </c>
      <c r="P22" s="60">
        <f>IFERROR(__xludf.DUMMYFUNCTION("""COMPUTED_VALUE"""),24774.0)</f>
        <v>24774</v>
      </c>
      <c r="Q22" s="58">
        <f>IFERROR(__xludf.DUMMYFUNCTION("""COMPUTED_VALUE"""),55985.11)</f>
        <v>55985.11</v>
      </c>
      <c r="R22" s="58">
        <f>IFERROR(__xludf.DUMMYFUNCTION("""COMPUTED_VALUE"""),2.259833292968435)</f>
        <v>2.259833293</v>
      </c>
      <c r="S22" s="58">
        <f>IFERROR(__xludf.DUMMYFUNCTION("""COMPUTED_VALUE"""),13.318255429078874)</f>
        <v>13.31825543</v>
      </c>
      <c r="T22" s="64">
        <f>IFERROR(__xludf.DUMMYFUNCTION("""COMPUTED_VALUE"""),12.945894486154838)</f>
        <v>12.94589449</v>
      </c>
      <c r="U22" s="64">
        <f>IFERROR(__xludf.DUMMYFUNCTION("""COMPUTED_VALUE"""),0.3723609429240362)</f>
        <v>0.3723609429</v>
      </c>
      <c r="V22" s="64">
        <f>IFERROR(__xludf.DUMMYFUNCTION("""COMPUTED_VALUE"""),5.893468102500826)</f>
        <v>5.893468103</v>
      </c>
      <c r="W22" s="64">
        <f>IFERROR(__xludf.DUMMYFUNCTION("""COMPUTED_VALUE"""),5.728694468940044)</f>
        <v>5.728694469</v>
      </c>
      <c r="X22" s="64">
        <f>IFERROR(__xludf.DUMMYFUNCTION("""COMPUTED_VALUE"""),0.1647736335607819)</f>
        <v>0.1647736336</v>
      </c>
      <c r="Y22" s="64">
        <f>IFERROR(__xludf.DUMMYFUNCTION("""COMPUTED_VALUE"""),0.37236094292403543)</f>
        <v>0.3723609429</v>
      </c>
      <c r="Z22" s="65">
        <f>IFERROR(__xludf.DUMMYFUNCTION("""COMPUTED_VALUE"""),387.3906108906473)</f>
        <v>387.3906109</v>
      </c>
      <c r="AA22" s="66" t="str">
        <f>IFERROR(__xludf.DUMMYFUNCTION("""COMPUTED_VALUE"""),"VERY BAD")</f>
        <v>VERY BAD</v>
      </c>
    </row>
    <row r="23">
      <c r="A23" s="55">
        <v>2023.0</v>
      </c>
      <c r="B23" s="56" t="s">
        <v>12</v>
      </c>
      <c r="C23" s="57" t="s">
        <v>64</v>
      </c>
      <c r="D23" s="58">
        <v>435127.06</v>
      </c>
      <c r="E23" s="58">
        <v>432078.02</v>
      </c>
      <c r="F23" s="58">
        <f t="shared" si="1"/>
        <v>3049.04</v>
      </c>
      <c r="G23" s="59" t="str">
        <f>IFERROR(__xludf.DUMMYFUNCTION("""COMPUTED_VALUE"""),"Kee Sung Agriculture (M) Sdn Bhd")</f>
        <v>Kee Sung Agriculture (M) Sdn Bhd</v>
      </c>
      <c r="H23" s="60">
        <f>IFERROR(__xludf.DUMMYFUNCTION("""COMPUTED_VALUE"""),36400.0)</f>
        <v>36400</v>
      </c>
      <c r="I23" s="61">
        <f>IFERROR(__xludf.DUMMYFUNCTION("""COMPUTED_VALUE"""),2.03)</f>
        <v>2.03</v>
      </c>
      <c r="J23" s="60">
        <f>IFERROR(__xludf.DUMMYFUNCTION("""COMPUTED_VALUE"""),2305.0)</f>
        <v>2305</v>
      </c>
      <c r="K23" s="62">
        <f>IFERROR(__xludf.DUMMYFUNCTION("""COMPUTED_VALUE"""),0.06332417582417582)</f>
        <v>0.06332417582</v>
      </c>
      <c r="L23" s="62">
        <f>IFERROR(__xludf.DUMMYFUNCTION("""COMPUTED_VALUE"""),0.9366758241758242)</f>
        <v>0.9366758242</v>
      </c>
      <c r="M23" s="63">
        <f>IFERROR(__xludf.DUMMYFUNCTION("""COMPUTED_VALUE"""),35.0)</f>
        <v>35</v>
      </c>
      <c r="N23" s="60">
        <f>IFERROR(__xludf.DUMMYFUNCTION("""COMPUTED_VALUE"""),2365.8804)</f>
        <v>2365.8804</v>
      </c>
      <c r="O23" s="59">
        <f>IFERROR(__xludf.DUMMYFUNCTION("""COMPUTED_VALUE"""),1.64)</f>
        <v>1.64</v>
      </c>
      <c r="P23" s="60">
        <f>IFERROR(__xludf.DUMMYFUNCTION("""COMPUTED_VALUE"""),34095.0)</f>
        <v>34095</v>
      </c>
      <c r="Q23" s="58">
        <f>IFERROR(__xludf.DUMMYFUNCTION("""COMPUTED_VALUE"""),72130.5)</f>
        <v>72130.5</v>
      </c>
      <c r="R23" s="58">
        <f>IFERROR(__xludf.DUMMYFUNCTION("""COMPUTED_VALUE"""),2.1155741311042675)</f>
        <v>2.115574131</v>
      </c>
      <c r="S23" s="58">
        <f>IFERROR(__xludf.DUMMYFUNCTION("""COMPUTED_VALUE"""),12.76219562985775)</f>
        <v>12.76219563</v>
      </c>
      <c r="T23" s="64">
        <f>IFERROR(__xludf.DUMMYFUNCTION("""COMPUTED_VALUE"""),12.672767854524126)</f>
        <v>12.67276785</v>
      </c>
      <c r="U23" s="64">
        <f>IFERROR(__xludf.DUMMYFUNCTION("""COMPUTED_VALUE"""),0.08942777533362367)</f>
        <v>0.08942777533</v>
      </c>
      <c r="V23" s="64">
        <f>IFERROR(__xludf.DUMMYFUNCTION("""COMPUTED_VALUE"""),5.947526497112872)</f>
        <v>5.947526497</v>
      </c>
      <c r="W23" s="64">
        <f>IFERROR(__xludf.DUMMYFUNCTION("""COMPUTED_VALUE"""),5.990226325895427)</f>
        <v>5.990226326</v>
      </c>
      <c r="X23" s="64">
        <f>IFERROR(__xludf.DUMMYFUNCTION("""COMPUTED_VALUE"""),-0.042699828782555294)</f>
        <v>-0.04269982878</v>
      </c>
      <c r="Y23" s="64">
        <f>IFERROR(__xludf.DUMMYFUNCTION("""COMPUTED_VALUE"""),0.08942777533362431)</f>
        <v>0.08942777533</v>
      </c>
      <c r="Z23" s="65">
        <f>IFERROR(__xludf.DUMMYFUNCTION("""COMPUTED_VALUE"""),345.227725236436)</f>
        <v>345.2277252</v>
      </c>
      <c r="AA23" s="66" t="str">
        <f>IFERROR(__xludf.DUMMYFUNCTION("""COMPUTED_VALUE"""),"VERY BAD")</f>
        <v>VERY BAD</v>
      </c>
    </row>
    <row r="24">
      <c r="A24" s="55">
        <v>2023.0</v>
      </c>
      <c r="B24" s="56" t="s">
        <v>12</v>
      </c>
      <c r="C24" s="57" t="s">
        <v>65</v>
      </c>
      <c r="D24" s="58">
        <v>418133.25</v>
      </c>
      <c r="E24" s="58">
        <v>406907.61</v>
      </c>
      <c r="F24" s="58">
        <f t="shared" si="1"/>
        <v>11225.64</v>
      </c>
      <c r="G24" s="59" t="str">
        <f>IFERROR(__xludf.DUMMYFUNCTION("""COMPUTED_VALUE"""),"Kee Sung Agriculture (M) Sdn Bhd")</f>
        <v>Kee Sung Agriculture (M) Sdn Bhd</v>
      </c>
      <c r="H24" s="60">
        <f>IFERROR(__xludf.DUMMYFUNCTION("""COMPUTED_VALUE"""),35000.0)</f>
        <v>35000</v>
      </c>
      <c r="I24" s="61">
        <f>IFERROR(__xludf.DUMMYFUNCTION("""COMPUTED_VALUE"""),2.03)</f>
        <v>2.03</v>
      </c>
      <c r="J24" s="60">
        <f>IFERROR(__xludf.DUMMYFUNCTION("""COMPUTED_VALUE"""),2415.0)</f>
        <v>2415</v>
      </c>
      <c r="K24" s="62">
        <f>IFERROR(__xludf.DUMMYFUNCTION("""COMPUTED_VALUE"""),0.069)</f>
        <v>0.069</v>
      </c>
      <c r="L24" s="62">
        <f>IFERROR(__xludf.DUMMYFUNCTION("""COMPUTED_VALUE"""),0.931)</f>
        <v>0.931</v>
      </c>
      <c r="M24" s="63">
        <f>IFERROR(__xludf.DUMMYFUNCTION("""COMPUTED_VALUE"""),35.0)</f>
        <v>35</v>
      </c>
      <c r="N24" s="60">
        <f>IFERROR(__xludf.DUMMYFUNCTION("""COMPUTED_VALUE"""),2294.32665)</f>
        <v>2294.32665</v>
      </c>
      <c r="O24" s="59">
        <f>IFERROR(__xludf.DUMMYFUNCTION("""COMPUTED_VALUE"""),1.65)</f>
        <v>1.65</v>
      </c>
      <c r="P24" s="60">
        <f>IFERROR(__xludf.DUMMYFUNCTION("""COMPUTED_VALUE"""),32585.0)</f>
        <v>32585</v>
      </c>
      <c r="Q24" s="58">
        <f>IFERROR(__xludf.DUMMYFUNCTION("""COMPUTED_VALUE"""),69525.05)</f>
        <v>69525.05</v>
      </c>
      <c r="R24" s="58">
        <f>IFERROR(__xludf.DUMMYFUNCTION("""COMPUTED_VALUE"""),2.1336519871106336)</f>
        <v>2.133651987</v>
      </c>
      <c r="S24" s="58">
        <f>IFERROR(__xludf.DUMMYFUNCTION("""COMPUTED_VALUE"""),12.83207764308731)</f>
        <v>12.83207764</v>
      </c>
      <c r="T24" s="64">
        <f>IFERROR(__xludf.DUMMYFUNCTION("""COMPUTED_VALUE"""),12.487574344023324)</f>
        <v>12.48757434</v>
      </c>
      <c r="U24" s="64">
        <f>IFERROR(__xludf.DUMMYFUNCTION("""COMPUTED_VALUE"""),0.3445032990639856)</f>
        <v>0.3445032991</v>
      </c>
      <c r="V24" s="64">
        <f>IFERROR(__xludf.DUMMYFUNCTION("""COMPUTED_VALUE"""),5.950001186622663)</f>
        <v>5.950001187</v>
      </c>
      <c r="W24" s="64">
        <f>IFERROR(__xludf.DUMMYFUNCTION("""COMPUTED_VALUE"""),5.852676265604987)</f>
        <v>5.852676266</v>
      </c>
      <c r="X24" s="64">
        <f>IFERROR(__xludf.DUMMYFUNCTION("""COMPUTED_VALUE"""),0.09732492101767676)</f>
        <v>0.09732492102</v>
      </c>
      <c r="Y24" s="64">
        <f>IFERROR(__xludf.DUMMYFUNCTION("""COMPUTED_VALUE"""),0.3445032990639869)</f>
        <v>0.3445032991</v>
      </c>
      <c r="Z24" s="65">
        <f>IFERROR(__xludf.DUMMYFUNCTION("""COMPUTED_VALUE"""),343.97056277056276)</f>
        <v>343.9705628</v>
      </c>
      <c r="AA24" s="66" t="str">
        <f>IFERROR(__xludf.DUMMYFUNCTION("""COMPUTED_VALUE"""),"VERY BAD")</f>
        <v>VERY BAD</v>
      </c>
    </row>
    <row r="25">
      <c r="A25" s="55">
        <v>2023.0</v>
      </c>
      <c r="B25" s="56" t="s">
        <v>12</v>
      </c>
      <c r="C25" s="57" t="s">
        <v>66</v>
      </c>
      <c r="D25" s="58">
        <v>348310.67</v>
      </c>
      <c r="E25" s="58">
        <v>361557.86</v>
      </c>
      <c r="F25" s="58">
        <f t="shared" si="1"/>
        <v>-13247.19</v>
      </c>
      <c r="G25" s="59" t="str">
        <f>IFERROR(__xludf.DUMMYFUNCTION("""COMPUTED_VALUE"""),"Kee Sung Agriculture (M) Sdn Bhd")</f>
        <v>Kee Sung Agriculture (M) Sdn Bhd</v>
      </c>
      <c r="H25" s="60">
        <f>IFERROR(__xludf.DUMMYFUNCTION("""COMPUTED_VALUE"""),33000.0)</f>
        <v>33000</v>
      </c>
      <c r="I25" s="61">
        <f>IFERROR(__xludf.DUMMYFUNCTION("""COMPUTED_VALUE"""),2.03)</f>
        <v>2.03</v>
      </c>
      <c r="J25" s="60">
        <f>IFERROR(__xludf.DUMMYFUNCTION("""COMPUTED_VALUE"""),2511.0)</f>
        <v>2511</v>
      </c>
      <c r="K25" s="62">
        <f>IFERROR(__xludf.DUMMYFUNCTION("""COMPUTED_VALUE"""),0.07609090909090908)</f>
        <v>0.07609090909</v>
      </c>
      <c r="L25" s="62">
        <f>IFERROR(__xludf.DUMMYFUNCTION("""COMPUTED_VALUE"""),0.9239090909090909)</f>
        <v>0.9239090909</v>
      </c>
      <c r="M25" s="63">
        <f>IFERROR(__xludf.DUMMYFUNCTION("""COMPUTED_VALUE"""),35.0)</f>
        <v>35</v>
      </c>
      <c r="N25" s="60">
        <f>IFERROR(__xludf.DUMMYFUNCTION("""COMPUTED_VALUE"""),2053.1944999999996)</f>
        <v>2053.1945</v>
      </c>
      <c r="O25" s="59">
        <f>IFERROR(__xludf.DUMMYFUNCTION("""COMPUTED_VALUE"""),1.75)</f>
        <v>1.75</v>
      </c>
      <c r="P25" s="60">
        <f>IFERROR(__xludf.DUMMYFUNCTION("""COMPUTED_VALUE"""),30489.0)</f>
        <v>30489</v>
      </c>
      <c r="Q25" s="58">
        <f>IFERROR(__xludf.DUMMYFUNCTION("""COMPUTED_VALUE"""),58662.7)</f>
        <v>58662.7</v>
      </c>
      <c r="R25" s="58">
        <f>IFERROR(__xludf.DUMMYFUNCTION("""COMPUTED_VALUE"""),1.9240611368034373)</f>
        <v>1.924061137</v>
      </c>
      <c r="S25" s="58">
        <f>IFERROR(__xludf.DUMMYFUNCTION("""COMPUTED_VALUE"""),11.424142149627734)</f>
        <v>11.42414215</v>
      </c>
      <c r="T25" s="64">
        <f>IFERROR(__xludf.DUMMYFUNCTION("""COMPUTED_VALUE"""),11.858632949588376)</f>
        <v>11.85863295</v>
      </c>
      <c r="U25" s="64">
        <f>IFERROR(__xludf.DUMMYFUNCTION("""COMPUTED_VALUE"""),-0.434490799960642)</f>
        <v>-0.4344908</v>
      </c>
      <c r="V25" s="64">
        <f>IFERROR(__xludf.DUMMYFUNCTION("""COMPUTED_VALUE"""),5.937515150172086)</f>
        <v>5.93751515</v>
      </c>
      <c r="W25" s="64">
        <f>IFERROR(__xludf.DUMMYFUNCTION("""COMPUTED_VALUE"""),6.163334793659344)</f>
        <v>6.163334794</v>
      </c>
      <c r="X25" s="64">
        <f>IFERROR(__xludf.DUMMYFUNCTION("""COMPUTED_VALUE"""),-0.22581964348725858)</f>
        <v>-0.2258196435</v>
      </c>
      <c r="Y25" s="64">
        <f>IFERROR(__xludf.DUMMYFUNCTION("""COMPUTED_VALUE"""),-0.4344907999606416)</f>
        <v>-0.4344908</v>
      </c>
      <c r="Z25" s="65">
        <f>IFERROR(__xludf.DUMMYFUNCTION("""COMPUTED_VALUE"""),290.2298082869512)</f>
        <v>290.2298083</v>
      </c>
      <c r="AA25" s="66" t="str">
        <f>IFERROR(__xludf.DUMMYFUNCTION("""COMPUTED_VALUE"""),"VERY BAD")</f>
        <v>VERY BAD</v>
      </c>
    </row>
    <row r="26">
      <c r="A26" s="55">
        <v>2023.0</v>
      </c>
      <c r="B26" s="56" t="s">
        <v>12</v>
      </c>
      <c r="C26" s="57" t="s">
        <v>67</v>
      </c>
      <c r="D26" s="58">
        <v>420894.59</v>
      </c>
      <c r="E26" s="58">
        <v>382515.37</v>
      </c>
      <c r="F26" s="58">
        <f t="shared" si="1"/>
        <v>38379.22</v>
      </c>
      <c r="G26" s="59" t="str">
        <f>IFERROR(__xludf.DUMMYFUNCTION("""COMPUTED_VALUE"""),"Kee Sung Agriculture (M) Sdn Bhd")</f>
        <v>Kee Sung Agriculture (M) Sdn Bhd</v>
      </c>
      <c r="H26" s="60">
        <f>IFERROR(__xludf.DUMMYFUNCTION("""COMPUTED_VALUE"""),33000.0)</f>
        <v>33000</v>
      </c>
      <c r="I26" s="61">
        <f>IFERROR(__xludf.DUMMYFUNCTION("""COMPUTED_VALUE"""),2.03)</f>
        <v>2.03</v>
      </c>
      <c r="J26" s="60">
        <f>IFERROR(__xludf.DUMMYFUNCTION("""COMPUTED_VALUE"""),2024.0)</f>
        <v>2024</v>
      </c>
      <c r="K26" s="62">
        <f>IFERROR(__xludf.DUMMYFUNCTION("""COMPUTED_VALUE"""),0.06133333333333333)</f>
        <v>0.06133333333</v>
      </c>
      <c r="L26" s="62">
        <f>IFERROR(__xludf.DUMMYFUNCTION("""COMPUTED_VALUE"""),0.9386666666666666)</f>
        <v>0.9386666667</v>
      </c>
      <c r="M26" s="63">
        <f>IFERROR(__xludf.DUMMYFUNCTION("""COMPUTED_VALUE"""),35.0)</f>
        <v>35</v>
      </c>
      <c r="N26" s="60">
        <f>IFERROR(__xludf.DUMMYFUNCTION("""COMPUTED_VALUE"""),2218.2837600000003)</f>
        <v>2218.28376</v>
      </c>
      <c r="O26" s="59">
        <f>IFERROR(__xludf.DUMMYFUNCTION("""COMPUTED_VALUE"""),1.61)</f>
        <v>1.61</v>
      </c>
      <c r="P26" s="60">
        <f>IFERROR(__xludf.DUMMYFUNCTION("""COMPUTED_VALUE"""),30976.0)</f>
        <v>30976</v>
      </c>
      <c r="Q26" s="58">
        <f>IFERROR(__xludf.DUMMYFUNCTION("""COMPUTED_VALUE"""),68890.8)</f>
        <v>68890.8</v>
      </c>
      <c r="R26" s="58">
        <f>IFERROR(__xludf.DUMMYFUNCTION("""COMPUTED_VALUE"""),2.224005681818182)</f>
        <v>2.224005682</v>
      </c>
      <c r="S26" s="58">
        <f>IFERROR(__xludf.DUMMYFUNCTION("""COMPUTED_VALUE"""),13.587764398243802)</f>
        <v>13.5877644</v>
      </c>
      <c r="T26" s="64">
        <f>IFERROR(__xludf.DUMMYFUNCTION("""COMPUTED_VALUE"""),12.348765818698348)</f>
        <v>12.34876582</v>
      </c>
      <c r="U26" s="64">
        <f>IFERROR(__xludf.DUMMYFUNCTION("""COMPUTED_VALUE"""),1.238998579545454)</f>
        <v>1.23899858</v>
      </c>
      <c r="V26" s="64">
        <f>IFERROR(__xludf.DUMMYFUNCTION("""COMPUTED_VALUE"""),5.944788999401952)</f>
        <v>5.944788999</v>
      </c>
      <c r="W26" s="64">
        <f>IFERROR(__xludf.DUMMYFUNCTION("""COMPUTED_VALUE"""),5.552488430966109)</f>
        <v>5.552488431</v>
      </c>
      <c r="X26" s="64">
        <f>IFERROR(__xludf.DUMMYFUNCTION("""COMPUTED_VALUE"""),0.39230056843584293)</f>
        <v>0.3923005684</v>
      </c>
      <c r="Y26" s="64">
        <f>IFERROR(__xludf.DUMMYFUNCTION("""COMPUTED_VALUE"""),1.2389985795454537)</f>
        <v>1.23899858</v>
      </c>
      <c r="Z26" s="65">
        <f>IFERROR(__xludf.DUMMYFUNCTION("""COMPUTED_VALUE"""),370.4702750665483)</f>
        <v>370.4702751</v>
      </c>
      <c r="AA26" s="66" t="str">
        <f>IFERROR(__xludf.DUMMYFUNCTION("""COMPUTED_VALUE"""),"VERY GOOD")</f>
        <v>VERY GOOD</v>
      </c>
    </row>
    <row r="27">
      <c r="A27" s="55">
        <v>2023.0</v>
      </c>
      <c r="B27" s="56" t="s">
        <v>17</v>
      </c>
      <c r="C27" s="57" t="s">
        <v>63</v>
      </c>
      <c r="D27" s="58">
        <f>IFERROR(__xludf.DUMMYFUNCTION("TRANSPOSE(IMPORTRANGE(""1OP-qxVLNURBqstk-WZQd8qB2vYxDQLc8s35zWl_CMzo"", ""2023!C12:H12""))"),423764.31)</f>
        <v>423764.31</v>
      </c>
      <c r="E27" s="58">
        <f>IFERROR(__xludf.DUMMYFUNCTION("TRANSPOSE(IMPORTRANGE(""1OP-qxVLNURBqstk-WZQd8qB2vYxDQLc8s35zWl_CMzo"", ""2023!C41:H41""))"),346411.77999999997)</f>
        <v>346411.78</v>
      </c>
      <c r="F27" s="58">
        <f t="shared" si="1"/>
        <v>77352.53</v>
      </c>
      <c r="G27" s="60" t="str">
        <f>IFERROR(__xludf.DUMMYFUNCTION("TRANSPOSE(IMPORTRANGE(""1OP-qxVLNURBqstk-WZQd8qB2vYxDQLc8s35zWl_CMzo"", ""2023!C49:H69""))"),"Chop Cheong Bee Sdn Bhd")</f>
        <v>Chop Cheong Bee Sdn Bhd</v>
      </c>
      <c r="H27" s="60">
        <f>IFERROR(__xludf.DUMMYFUNCTION("""COMPUTED_VALUE"""),29200.0)</f>
        <v>29200</v>
      </c>
      <c r="I27" s="61">
        <f>IFERROR(__xludf.DUMMYFUNCTION("""COMPUTED_VALUE"""),2.0)</f>
        <v>2</v>
      </c>
      <c r="J27" s="60">
        <f>IFERROR(__xludf.DUMMYFUNCTION("""COMPUTED_VALUE"""),1287.0)</f>
        <v>1287</v>
      </c>
      <c r="K27" s="62">
        <f>IFERROR(__xludf.DUMMYFUNCTION("""COMPUTED_VALUE"""),0.044075342465753425)</f>
        <v>0.04407534247</v>
      </c>
      <c r="L27" s="62">
        <f>IFERROR(__xludf.DUMMYFUNCTION("""COMPUTED_VALUE"""),0.9559246575342466)</f>
        <v>0.9559246575</v>
      </c>
      <c r="M27" s="63">
        <f>IFERROR(__xludf.DUMMYFUNCTION("""COMPUTED_VALUE"""),35.0)</f>
        <v>35</v>
      </c>
      <c r="N27" s="60">
        <f>IFERROR(__xludf.DUMMYFUNCTION("""COMPUTED_VALUE"""),2100.71186)</f>
        <v>2100.71186</v>
      </c>
      <c r="O27" s="59">
        <f>IFERROR(__xludf.DUMMYFUNCTION("""COMPUTED_VALUE"""),1.45)</f>
        <v>1.45</v>
      </c>
      <c r="P27" s="60">
        <f>IFERROR(__xludf.DUMMYFUNCTION("""COMPUTED_VALUE"""),27913.0)</f>
        <v>27913</v>
      </c>
      <c r="Q27" s="58">
        <f>IFERROR(__xludf.DUMMYFUNCTION("""COMPUTED_VALUE"""),72438.34)</f>
        <v>72438.34</v>
      </c>
      <c r="R27" s="58">
        <f>IFERROR(__xludf.DUMMYFUNCTION("""COMPUTED_VALUE"""),2.595147064092)</f>
        <v>2.595147064</v>
      </c>
      <c r="S27" s="58">
        <f>IFERROR(__xludf.DUMMYFUNCTION("""COMPUTED_VALUE"""),15.181611077275821)</f>
        <v>15.18161108</v>
      </c>
      <c r="T27" s="64">
        <f>IFERROR(__xludf.DUMMYFUNCTION("""COMPUTED_VALUE"""),12.410410203131157)</f>
        <v>12.4104102</v>
      </c>
      <c r="U27" s="64">
        <f>IFERROR(__xludf.DUMMYFUNCTION("""COMPUTED_VALUE"""),2.7712008741446645)</f>
        <v>2.771200874</v>
      </c>
      <c r="V27" s="64">
        <f>IFERROR(__xludf.DUMMYFUNCTION("""COMPUTED_VALUE"""),5.850000289901729)</f>
        <v>5.85000029</v>
      </c>
      <c r="W27" s="64">
        <f>IFERROR(__xludf.DUMMYFUNCTION("""COMPUTED_VALUE"""),4.782160662433733)</f>
        <v>4.782160662</v>
      </c>
      <c r="X27" s="64">
        <f>IFERROR(__xludf.DUMMYFUNCTION("""COMPUTED_VALUE"""),1.067839627467996)</f>
        <v>1.067839627</v>
      </c>
      <c r="Y27" s="64">
        <f>IFERROR(__xludf.DUMMYFUNCTION("""COMPUTED_VALUE"""),1.067839627467996)</f>
        <v>1.067839627</v>
      </c>
      <c r="Z27" s="65">
        <f>IFERROR(__xludf.DUMMYFUNCTION("""COMPUTED_VALUE"""),427.7181152574398)</f>
        <v>427.7181153</v>
      </c>
      <c r="AA27" s="66" t="str">
        <f>IFERROR(__xludf.DUMMYFUNCTION("""COMPUTED_VALUE"""),"VERY GOOD")</f>
        <v>VERY GOOD</v>
      </c>
    </row>
    <row r="28">
      <c r="A28" s="55">
        <v>2023.0</v>
      </c>
      <c r="B28" s="56" t="s">
        <v>17</v>
      </c>
      <c r="C28" s="57" t="s">
        <v>64</v>
      </c>
      <c r="D28" s="58">
        <f>IFERROR(__xludf.DUMMYFUNCTION("""COMPUTED_VALUE"""),564908.67)</f>
        <v>564908.67</v>
      </c>
      <c r="E28" s="58">
        <f>IFERROR(__xludf.DUMMYFUNCTION("""COMPUTED_VALUE"""),500223.4)</f>
        <v>500223.4</v>
      </c>
      <c r="F28" s="58">
        <f t="shared" si="1"/>
        <v>64685.27</v>
      </c>
      <c r="G28" s="60" t="str">
        <f>IFERROR(__xludf.DUMMYFUNCTION("""COMPUTED_VALUE"""),"Chop Cheong Bee Sdn Bhd")</f>
        <v>Chop Cheong Bee Sdn Bhd</v>
      </c>
      <c r="H28" s="60">
        <f>IFERROR(__xludf.DUMMYFUNCTION("""COMPUTED_VALUE"""),43800.0)</f>
        <v>43800</v>
      </c>
      <c r="I28" s="61">
        <f>IFERROR(__xludf.DUMMYFUNCTION("""COMPUTED_VALUE"""),2.0)</f>
        <v>2</v>
      </c>
      <c r="J28" s="60">
        <f>IFERROR(__xludf.DUMMYFUNCTION("""COMPUTED_VALUE"""),2042.0)</f>
        <v>2042</v>
      </c>
      <c r="K28" s="62">
        <f>IFERROR(__xludf.DUMMYFUNCTION("""COMPUTED_VALUE"""),0.0453)</f>
        <v>0.0453</v>
      </c>
      <c r="L28" s="62">
        <f>IFERROR(__xludf.DUMMYFUNCTION("""COMPUTED_VALUE"""),0.9533789954337899)</f>
        <v>0.9533789954</v>
      </c>
      <c r="M28" s="63">
        <f>IFERROR(__xludf.DUMMYFUNCTION("""COMPUTED_VALUE"""),35.0)</f>
        <v>35</v>
      </c>
      <c r="N28" s="60">
        <f>IFERROR(__xludf.DUMMYFUNCTION("""COMPUTED_VALUE"""),2883.0)</f>
        <v>2883</v>
      </c>
      <c r="O28" s="59">
        <f>IFERROR(__xludf.DUMMYFUNCTION("""COMPUTED_VALUE"""),1.49)</f>
        <v>1.49</v>
      </c>
      <c r="P28" s="60">
        <f>IFERROR(__xludf.DUMMYFUNCTION("""COMPUTED_VALUE"""),41758.0)</f>
        <v>41758</v>
      </c>
      <c r="Q28" s="58">
        <f>IFERROR(__xludf.DUMMYFUNCTION("""COMPUTED_VALUE"""),96690.0)</f>
        <v>96690</v>
      </c>
      <c r="R28" s="58">
        <f>IFERROR(__xludf.DUMMYFUNCTION("""COMPUTED_VALUE"""),2.3154844580679153)</f>
        <v>2.315484458</v>
      </c>
      <c r="S28" s="58">
        <f>IFERROR(__xludf.DUMMYFUNCTION("""COMPUTED_VALUE"""),13.528154365630538)</f>
        <v>13.52815437</v>
      </c>
      <c r="T28" s="64">
        <f>IFERROR(__xludf.DUMMYFUNCTION("""COMPUTED_VALUE"""),11.979103405335506)</f>
        <v>11.97910341</v>
      </c>
      <c r="U28" s="64">
        <f>IFERROR(__xludf.DUMMYFUNCTION("""COMPUTED_VALUE"""),1.5490509602950322)</f>
        <v>1.54905096</v>
      </c>
      <c r="V28" s="64">
        <f>IFERROR(__xludf.DUMMYFUNCTION("""COMPUTED_VALUE"""),5.842472541110767)</f>
        <v>5.842472541</v>
      </c>
      <c r="W28" s="64">
        <f>IFERROR(__xludf.DUMMYFUNCTION("""COMPUTED_VALUE"""),5.173476057503361)</f>
        <v>5.173476058</v>
      </c>
      <c r="X28" s="64">
        <f>IFERROR(__xludf.DUMMYFUNCTION("""COMPUTED_VALUE"""),0.6689964836074056)</f>
        <v>0.6689964836</v>
      </c>
      <c r="Y28" s="64">
        <f>IFERROR(__xludf.DUMMYFUNCTION("""COMPUTED_VALUE"""),0.6689964836074053)</f>
        <v>0.6689964836</v>
      </c>
      <c r="Z28" s="65">
        <f>IFERROR(__xludf.DUMMYFUNCTION("""COMPUTED_VALUE"""),370.3916521099568)</f>
        <v>370.3916521</v>
      </c>
      <c r="AA28" s="66" t="str">
        <f>IFERROR(__xludf.DUMMYFUNCTION("""COMPUTED_VALUE"""),"JUST AVERAGE")</f>
        <v>JUST AVERAGE</v>
      </c>
    </row>
    <row r="29">
      <c r="A29" s="55">
        <v>2023.0</v>
      </c>
      <c r="B29" s="56" t="s">
        <v>17</v>
      </c>
      <c r="C29" s="57" t="s">
        <v>65</v>
      </c>
      <c r="D29" s="58">
        <f>IFERROR(__xludf.DUMMYFUNCTION("""COMPUTED_VALUE"""),567674.57)</f>
        <v>567674.57</v>
      </c>
      <c r="E29" s="58">
        <f>IFERROR(__xludf.DUMMYFUNCTION("""COMPUTED_VALUE"""),513127.50000000006)</f>
        <v>513127.5</v>
      </c>
      <c r="F29" s="58">
        <f t="shared" si="1"/>
        <v>54547.07</v>
      </c>
      <c r="G29" s="60" t="str">
        <f>IFERROR(__xludf.DUMMYFUNCTION("""COMPUTED_VALUE"""),"Chop Cheong Bee Sdn Bhd")</f>
        <v>Chop Cheong Bee Sdn Bhd</v>
      </c>
      <c r="H29" s="60">
        <f>IFERROR(__xludf.DUMMYFUNCTION("""COMPUTED_VALUE"""),43800.0)</f>
        <v>43800</v>
      </c>
      <c r="I29" s="61">
        <f>IFERROR(__xludf.DUMMYFUNCTION("""COMPUTED_VALUE"""),1.98)</f>
        <v>1.98</v>
      </c>
      <c r="J29" s="60">
        <f>IFERROR(__xludf.DUMMYFUNCTION("""COMPUTED_VALUE"""),1873.0)</f>
        <v>1873</v>
      </c>
      <c r="K29" s="62">
        <f>IFERROR(__xludf.DUMMYFUNCTION("""COMPUTED_VALUE"""),0.04276255707762557)</f>
        <v>0.04276255708</v>
      </c>
      <c r="L29" s="62">
        <f>IFERROR(__xludf.DUMMYFUNCTION("""COMPUTED_VALUE"""),0.9572374429223744)</f>
        <v>0.9572374429</v>
      </c>
      <c r="M29" s="63">
        <f>IFERROR(__xludf.DUMMYFUNCTION("""COMPUTED_VALUE"""),35.0)</f>
        <v>35</v>
      </c>
      <c r="N29" s="60">
        <f>IFERROR(__xludf.DUMMYFUNCTION("""COMPUTED_VALUE"""),2888.0)</f>
        <v>2888</v>
      </c>
      <c r="O29" s="59">
        <f>IFERROR(__xludf.DUMMYFUNCTION("""COMPUTED_VALUE"""),1.5)</f>
        <v>1.5</v>
      </c>
      <c r="P29" s="60">
        <f>IFERROR(__xludf.DUMMYFUNCTION("""COMPUTED_VALUE"""),41927.0)</f>
        <v>41927</v>
      </c>
      <c r="Q29" s="58">
        <f>IFERROR(__xludf.DUMMYFUNCTION("""COMPUTED_VALUE"""),96576.84)</f>
        <v>96576.84</v>
      </c>
      <c r="R29" s="58">
        <f>IFERROR(__xludf.DUMMYFUNCTION("""COMPUTED_VALUE"""),2.3034521907124286)</f>
        <v>2.303452191</v>
      </c>
      <c r="S29" s="58">
        <f>IFERROR(__xludf.DUMMYFUNCTION("""COMPUTED_VALUE"""),13.539594294845802)</f>
        <v>13.53959429</v>
      </c>
      <c r="T29" s="64">
        <f>IFERROR(__xludf.DUMMYFUNCTION("""COMPUTED_VALUE"""),12.238593269253704)</f>
        <v>12.23859327</v>
      </c>
      <c r="U29" s="64">
        <f>IFERROR(__xludf.DUMMYFUNCTION("""COMPUTED_VALUE"""),1.3010010255920985)</f>
        <v>1.301001026</v>
      </c>
      <c r="V29" s="64">
        <f>IFERROR(__xludf.DUMMYFUNCTION("""COMPUTED_VALUE"""),5.87795759314552)</f>
        <v>5.877957593</v>
      </c>
      <c r="W29" s="64">
        <f>IFERROR(__xludf.DUMMYFUNCTION("""COMPUTED_VALUE"""),5.3131527186021)</f>
        <v>5.313152719</v>
      </c>
      <c r="X29" s="64">
        <f>IFERROR(__xludf.DUMMYFUNCTION("""COMPUTED_VALUE"""),0.5648048745434195)</f>
        <v>0.5648048745</v>
      </c>
      <c r="Y29" s="64">
        <f>IFERROR(__xludf.DUMMYFUNCTION("""COMPUTED_VALUE"""),0.5648048745434194)</f>
        <v>0.5648048745</v>
      </c>
      <c r="Z29" s="65">
        <f>IFERROR(__xludf.DUMMYFUNCTION("""COMPUTED_VALUE"""),367.4917808219178)</f>
        <v>367.4917808</v>
      </c>
      <c r="AA29" s="66" t="str">
        <f>IFERROR(__xludf.DUMMYFUNCTION("""COMPUTED_VALUE"""),"VERY BAD")</f>
        <v>VERY BAD</v>
      </c>
    </row>
    <row r="30">
      <c r="A30" s="55">
        <v>2023.0</v>
      </c>
      <c r="B30" s="56" t="s">
        <v>17</v>
      </c>
      <c r="C30" s="57" t="s">
        <v>66</v>
      </c>
      <c r="D30" s="58">
        <f>IFERROR(__xludf.DUMMYFUNCTION("""COMPUTED_VALUE"""),526308.76)</f>
        <v>526308.76</v>
      </c>
      <c r="E30" s="58">
        <f>IFERROR(__xludf.DUMMYFUNCTION("""COMPUTED_VALUE"""),489085.26)</f>
        <v>489085.26</v>
      </c>
      <c r="F30" s="58">
        <f t="shared" si="1"/>
        <v>37223.5</v>
      </c>
      <c r="G30" s="60" t="str">
        <f>IFERROR(__xludf.DUMMYFUNCTION("""COMPUTED_VALUE"""),"Chop Cheong Bee Sdn Bhd")</f>
        <v>Chop Cheong Bee Sdn Bhd</v>
      </c>
      <c r="H30" s="60">
        <f>IFERROR(__xludf.DUMMYFUNCTION("""COMPUTED_VALUE"""),43800.0)</f>
        <v>43800</v>
      </c>
      <c r="I30" s="61">
        <f>IFERROR(__xludf.DUMMYFUNCTION("""COMPUTED_VALUE"""),1.98)</f>
        <v>1.98</v>
      </c>
      <c r="J30" s="60">
        <f>IFERROR(__xludf.DUMMYFUNCTION("""COMPUTED_VALUE"""),2074.0)</f>
        <v>2074</v>
      </c>
      <c r="K30" s="62">
        <f>IFERROR(__xludf.DUMMYFUNCTION("""COMPUTED_VALUE"""),0.04735159817351598)</f>
        <v>0.04735159817</v>
      </c>
      <c r="L30" s="62">
        <f>IFERROR(__xludf.DUMMYFUNCTION("""COMPUTED_VALUE"""),0.952648401826484)</f>
        <v>0.9526484018</v>
      </c>
      <c r="M30" s="63">
        <f>IFERROR(__xludf.DUMMYFUNCTION("""COMPUTED_VALUE"""),35.0)</f>
        <v>35</v>
      </c>
      <c r="N30" s="60">
        <f>IFERROR(__xludf.DUMMYFUNCTION("""COMPUTED_VALUE"""),2763.0)</f>
        <v>2763</v>
      </c>
      <c r="O30" s="59">
        <f>IFERROR(__xludf.DUMMYFUNCTION("""COMPUTED_VALUE"""),1.54)</f>
        <v>1.54</v>
      </c>
      <c r="P30" s="60">
        <f>IFERROR(__xludf.DUMMYFUNCTION("""COMPUTED_VALUE"""),41726.0)</f>
        <v>41726</v>
      </c>
      <c r="Q30" s="58">
        <f>IFERROR(__xludf.DUMMYFUNCTION("""COMPUTED_VALUE"""),89967.3)</f>
        <v>89967.3</v>
      </c>
      <c r="R30" s="58">
        <f>IFERROR(__xludf.DUMMYFUNCTION("""COMPUTED_VALUE"""),2.156144849733979)</f>
        <v>2.15614485</v>
      </c>
      <c r="S30" s="58">
        <f>IFERROR(__xludf.DUMMYFUNCTION("""COMPUTED_VALUE"""),12.61344868906677)</f>
        <v>12.61344869</v>
      </c>
      <c r="T30" s="64">
        <f>IFERROR(__xludf.DUMMYFUNCTION("""COMPUTED_VALUE"""),11.721355030436658)</f>
        <v>11.72135503</v>
      </c>
      <c r="U30" s="64">
        <f>IFERROR(__xludf.DUMMYFUNCTION("""COMPUTED_VALUE"""),0.8920936586301114)</f>
        <v>0.8920936586</v>
      </c>
      <c r="V30" s="64">
        <f>IFERROR(__xludf.DUMMYFUNCTION("""COMPUTED_VALUE"""),5.850000611333229)</f>
        <v>5.850000611</v>
      </c>
      <c r="W30" s="64">
        <f>IFERROR(__xludf.DUMMYFUNCTION("""COMPUTED_VALUE"""),5.4362558396217295)</f>
        <v>5.43625584</v>
      </c>
      <c r="X30" s="64">
        <f>IFERROR(__xludf.DUMMYFUNCTION("""COMPUTED_VALUE"""),0.4137447717114995)</f>
        <v>0.4137447717</v>
      </c>
      <c r="Y30" s="64">
        <f>IFERROR(__xludf.DUMMYFUNCTION("""COMPUTED_VALUE"""),0.4137447717114996)</f>
        <v>0.4137447717</v>
      </c>
      <c r="Z30" s="65">
        <f>IFERROR(__xludf.DUMMYFUNCTION("""COMPUTED_VALUE"""),333.4493417541363)</f>
        <v>333.4493418</v>
      </c>
      <c r="AA30" s="66" t="str">
        <f>IFERROR(__xludf.DUMMYFUNCTION("""COMPUTED_VALUE"""),"VERY BAD")</f>
        <v>VERY BAD</v>
      </c>
    </row>
    <row r="31">
      <c r="A31" s="55">
        <v>2023.0</v>
      </c>
      <c r="B31" s="56" t="s">
        <v>17</v>
      </c>
      <c r="C31" s="57" t="s">
        <v>67</v>
      </c>
      <c r="D31" s="58">
        <f>IFERROR(__xludf.DUMMYFUNCTION("""COMPUTED_VALUE"""),579811.31)</f>
        <v>579811.31</v>
      </c>
      <c r="E31" s="58">
        <f>IFERROR(__xludf.DUMMYFUNCTION("""COMPUTED_VALUE"""),497169.4)</f>
        <v>497169.4</v>
      </c>
      <c r="F31" s="58">
        <f t="shared" si="1"/>
        <v>82641.91</v>
      </c>
      <c r="G31" s="60" t="str">
        <f>IFERROR(__xludf.DUMMYFUNCTION("""COMPUTED_VALUE"""),"Chop Cheong Bee Sdn Bhd")</f>
        <v>Chop Cheong Bee Sdn Bhd</v>
      </c>
      <c r="H31" s="60">
        <f>IFERROR(__xludf.DUMMYFUNCTION("""COMPUTED_VALUE"""),43800.0)</f>
        <v>43800</v>
      </c>
      <c r="I31" s="61">
        <f>IFERROR(__xludf.DUMMYFUNCTION("""COMPUTED_VALUE"""),2.02)</f>
        <v>2.02</v>
      </c>
      <c r="J31" s="60">
        <f>IFERROR(__xludf.DUMMYFUNCTION("""COMPUTED_VALUE"""),1200.0)</f>
        <v>1200</v>
      </c>
      <c r="K31" s="62">
        <f>IFERROR(__xludf.DUMMYFUNCTION("""COMPUTED_VALUE"""),0.0273972602739726)</f>
        <v>0.02739726027</v>
      </c>
      <c r="L31" s="62">
        <f>IFERROR(__xludf.DUMMYFUNCTION("""COMPUTED_VALUE"""),0.9726027397260274)</f>
        <v>0.9726027397</v>
      </c>
      <c r="M31" s="63">
        <f>IFERROR(__xludf.DUMMYFUNCTION("""COMPUTED_VALUE"""),35.0)</f>
        <v>35</v>
      </c>
      <c r="N31" s="60">
        <f>IFERROR(__xludf.DUMMYFUNCTION("""COMPUTED_VALUE"""),2870.3940000000002)</f>
        <v>2870.394</v>
      </c>
      <c r="O31" s="59">
        <f>IFERROR(__xludf.DUMMYFUNCTION("""COMPUTED_VALUE"""),1.5)</f>
        <v>1.5</v>
      </c>
      <c r="P31" s="60">
        <f>IFERROR(__xludf.DUMMYFUNCTION("""COMPUTED_VALUE"""),42600.0)</f>
        <v>42600</v>
      </c>
      <c r="Q31" s="58">
        <f>IFERROR(__xludf.DUMMYFUNCTION("""COMPUTED_VALUE"""),95679.8)</f>
        <v>95679.8</v>
      </c>
      <c r="R31" s="58">
        <f>IFERROR(__xludf.DUMMYFUNCTION("""COMPUTED_VALUE"""),2.2460046948356807)</f>
        <v>2.246004695</v>
      </c>
      <c r="S31" s="58">
        <f>IFERROR(__xludf.DUMMYFUNCTION("""COMPUTED_VALUE"""),13.6105941314554)</f>
        <v>13.61059413</v>
      </c>
      <c r="T31" s="64">
        <f>IFERROR(__xludf.DUMMYFUNCTION("""COMPUTED_VALUE"""),11.670643192488264)</f>
        <v>11.67064319</v>
      </c>
      <c r="U31" s="64">
        <f>IFERROR(__xludf.DUMMYFUNCTION("""COMPUTED_VALUE"""),1.9399509389671366)</f>
        <v>1.939950939</v>
      </c>
      <c r="V31" s="64">
        <f>IFERROR(__xludf.DUMMYFUNCTION("""COMPUTED_VALUE"""),6.059913482260624)</f>
        <v>6.059913482</v>
      </c>
      <c r="W31" s="64">
        <f>IFERROR(__xludf.DUMMYFUNCTION("""COMPUTED_VALUE"""),5.196179339839757)</f>
        <v>5.19617934</v>
      </c>
      <c r="X31" s="64">
        <f>IFERROR(__xludf.DUMMYFUNCTION("""COMPUTED_VALUE"""),0.8637341424208671)</f>
        <v>0.8637341424</v>
      </c>
      <c r="Y31" s="64">
        <f>IFERROR(__xludf.DUMMYFUNCTION("""COMPUTED_VALUE"""),0.8637341424208665)</f>
        <v>0.8637341424</v>
      </c>
      <c r="Z31" s="65">
        <f>IFERROR(__xludf.DUMMYFUNCTION("""COMPUTED_VALUE"""),364.07838660578386)</f>
        <v>364.0783866</v>
      </c>
      <c r="AA31" s="66" t="str">
        <f>IFERROR(__xludf.DUMMYFUNCTION("""COMPUTED_VALUE"""),"JUST AVERAGE")</f>
        <v>JUST AVERAGE</v>
      </c>
    </row>
    <row r="32">
      <c r="A32" s="55">
        <v>2023.0</v>
      </c>
      <c r="B32" s="56" t="s">
        <v>17</v>
      </c>
      <c r="C32" s="57" t="s">
        <v>68</v>
      </c>
      <c r="D32" s="58">
        <f>IFERROR(__xludf.DUMMYFUNCTION("""COMPUTED_VALUE"""),615363.97)</f>
        <v>615363.97</v>
      </c>
      <c r="E32" s="58">
        <f>IFERROR(__xludf.DUMMYFUNCTION("""COMPUTED_VALUE"""),504693.05000000005)</f>
        <v>504693.05</v>
      </c>
      <c r="F32" s="58">
        <f t="shared" si="1"/>
        <v>110670.92</v>
      </c>
      <c r="G32" s="60" t="str">
        <f>IFERROR(__xludf.DUMMYFUNCTION("""COMPUTED_VALUE"""),"Chop Cheong Bee Sdn Bhd")</f>
        <v>Chop Cheong Bee Sdn Bhd</v>
      </c>
      <c r="H32" s="60">
        <f>IFERROR(__xludf.DUMMYFUNCTION("""COMPUTED_VALUE"""),43800.0)</f>
        <v>43800</v>
      </c>
      <c r="I32" s="61">
        <f>IFERROR(__xludf.DUMMYFUNCTION("""COMPUTED_VALUE"""),2.03)</f>
        <v>2.03</v>
      </c>
      <c r="J32" s="60">
        <f>IFERROR(__xludf.DUMMYFUNCTION("""COMPUTED_VALUE"""),2031.0)</f>
        <v>2031</v>
      </c>
      <c r="K32" s="62">
        <f>IFERROR(__xludf.DUMMYFUNCTION("""COMPUTED_VALUE"""),0.04636986301369863)</f>
        <v>0.04636986301</v>
      </c>
      <c r="L32" s="62">
        <f>IFERROR(__xludf.DUMMYFUNCTION("""COMPUTED_VALUE"""),0.9536301369863014)</f>
        <v>0.953630137</v>
      </c>
      <c r="M32" s="63">
        <f>IFERROR(__xludf.DUMMYFUNCTION("""COMPUTED_VALUE"""),35.0)</f>
        <v>35</v>
      </c>
      <c r="N32" s="60">
        <f>IFERROR(__xludf.DUMMYFUNCTION("""COMPUTED_VALUE"""),2825.0)</f>
        <v>2825</v>
      </c>
      <c r="O32" s="59">
        <f>IFERROR(__xludf.DUMMYFUNCTION("""COMPUTED_VALUE"""),1.42)</f>
        <v>1.42</v>
      </c>
      <c r="P32" s="60">
        <f>IFERROR(__xludf.DUMMYFUNCTION("""COMPUTED_VALUE"""),41769.0)</f>
        <v>41769</v>
      </c>
      <c r="Q32" s="58">
        <f>IFERROR(__xludf.DUMMYFUNCTION("""COMPUTED_VALUE"""),99293.2)</f>
        <v>99293.2</v>
      </c>
      <c r="R32" s="58">
        <f>IFERROR(__xludf.DUMMYFUNCTION("""COMPUTED_VALUE"""),2.3771984007278126)</f>
        <v>2.377198401</v>
      </c>
      <c r="S32" s="58">
        <f>IFERROR(__xludf.DUMMYFUNCTION("""COMPUTED_VALUE"""),14.732552131963896)</f>
        <v>14.73255213</v>
      </c>
      <c r="T32" s="64">
        <f>IFERROR(__xludf.DUMMYFUNCTION("""COMPUTED_VALUE"""),12.08295745648687)</f>
        <v>12.08295746</v>
      </c>
      <c r="U32" s="64">
        <f>IFERROR(__xludf.DUMMYFUNCTION("""COMPUTED_VALUE"""),2.649594675477026)</f>
        <v>2.649594675</v>
      </c>
      <c r="V32" s="64">
        <f>IFERROR(__xludf.DUMMYFUNCTION("""COMPUTED_VALUE"""),6.197443228740739)</f>
        <v>6.197443229</v>
      </c>
      <c r="W32" s="64">
        <f>IFERROR(__xludf.DUMMYFUNCTION("""COMPUTED_VALUE"""),5.082856127106389)</f>
        <v>5.082856127</v>
      </c>
      <c r="X32" s="64">
        <f>IFERROR(__xludf.DUMMYFUNCTION("""COMPUTED_VALUE"""),1.11458710163435)</f>
        <v>1.114587102</v>
      </c>
      <c r="Y32" s="64">
        <f>IFERROR(__xludf.DUMMYFUNCTION("""COMPUTED_VALUE"""),1.114587101634351)</f>
        <v>1.114587102</v>
      </c>
      <c r="Z32" s="65">
        <f>IFERROR(__xludf.DUMMYFUNCTION("""COMPUTED_VALUE"""),399.11409093832407)</f>
        <v>399.1140909</v>
      </c>
      <c r="AA32" s="66" t="str">
        <f>IFERROR(__xludf.DUMMYFUNCTION("""COMPUTED_VALUE"""),"VERY GOOD")</f>
        <v>VERY GOOD</v>
      </c>
    </row>
    <row r="33">
      <c r="A33" s="55">
        <v>2023.0</v>
      </c>
      <c r="B33" s="56" t="s">
        <v>21</v>
      </c>
      <c r="C33" s="57" t="s">
        <v>63</v>
      </c>
      <c r="D33" s="64">
        <f>IFERROR(__xludf.DUMMYFUNCTION("TRANSPOSE(IMPORTRANGE(""1Y1LY7dyNGLp0NieLSn-6awoDagvXjF5SwgLKBcwcayI"", ""2023!C12:F12""))"),243596.09)</f>
        <v>243596.09</v>
      </c>
      <c r="E33" s="64">
        <f>IFERROR(__xludf.DUMMYFUNCTION("TRANSPOSE(IMPORTRANGE(""1Y1LY7dyNGLp0NieLSn-6awoDagvXjF5SwgLKBcwcayI"", ""2023!C42:F42""))"),262305.7)</f>
        <v>262305.7</v>
      </c>
      <c r="F33" s="58">
        <f t="shared" si="1"/>
        <v>-18709.61</v>
      </c>
      <c r="G33" s="67" t="str">
        <f>IFERROR(__xludf.DUMMYFUNCTION("TRANSPOSE(IMPORTRANGE(""1Y1LY7dyNGLp0NieLSn-6awoDagvXjF5SwgLKBcwcayI"", ""2023!C50:F70""))"),"Chop Cheong Bee Sdn Bhd")</f>
        <v>Chop Cheong Bee Sdn Bhd</v>
      </c>
      <c r="H33" s="60">
        <f>IFERROR(__xludf.DUMMYFUNCTION("""COMPUTED_VALUE"""),14000.0)</f>
        <v>14000</v>
      </c>
      <c r="I33" s="61">
        <f>IFERROR(__xludf.DUMMYFUNCTION("""COMPUTED_VALUE"""),2.03)</f>
        <v>2.03</v>
      </c>
      <c r="J33" s="60">
        <f>IFERROR(__xludf.DUMMYFUNCTION("""COMPUTED_VALUE"""),486.0)</f>
        <v>486</v>
      </c>
      <c r="K33" s="62">
        <f>IFERROR(__xludf.DUMMYFUNCTION("""COMPUTED_VALUE"""),0.03471428571428571)</f>
        <v>0.03471428571</v>
      </c>
      <c r="L33" s="62">
        <f>IFERROR(__xludf.DUMMYFUNCTION("""COMPUTED_VALUE"""),0.9652857142857143)</f>
        <v>0.9652857143</v>
      </c>
      <c r="M33" s="63">
        <f>IFERROR(__xludf.DUMMYFUNCTION("""COMPUTED_VALUE"""),35.0)</f>
        <v>35</v>
      </c>
      <c r="N33" s="63">
        <f>IFERROR(__xludf.DUMMYFUNCTION("""COMPUTED_VALUE"""),904.66892)</f>
        <v>904.66892</v>
      </c>
      <c r="O33" s="59">
        <f>IFERROR(__xludf.DUMMYFUNCTION("""COMPUTED_VALUE"""),1.45)</f>
        <v>1.45</v>
      </c>
      <c r="P33" s="65">
        <f>IFERROR(__xludf.DUMMYFUNCTION("""COMPUTED_VALUE"""),13514.0)</f>
        <v>13514</v>
      </c>
      <c r="Q33" s="64">
        <f>IFERROR(__xludf.DUMMYFUNCTION("""COMPUTED_VALUE"""),31195.48)</f>
        <v>31195.48</v>
      </c>
      <c r="R33" s="64">
        <f>IFERROR(__xludf.DUMMYFUNCTION("""COMPUTED_VALUE"""),2.3083824182329438)</f>
        <v>2.308382418</v>
      </c>
      <c r="S33" s="58">
        <f>IFERROR(__xludf.DUMMYFUNCTION("""COMPUTED_VALUE"""),18.02546174337724)</f>
        <v>18.02546174</v>
      </c>
      <c r="T33" s="68">
        <f>IFERROR(__xludf.DUMMYFUNCTION("""COMPUTED_VALUE"""),19.409923042770462)</f>
        <v>19.40992304</v>
      </c>
      <c r="U33" s="68">
        <f>IFERROR(__xludf.DUMMYFUNCTION("""COMPUTED_VALUE"""),-1.384461299393223)</f>
        <v>-1.384461299</v>
      </c>
      <c r="V33" s="68">
        <f>IFERROR(__xludf.DUMMYFUNCTION("""COMPUTED_VALUE"""),5.927977065908266)</f>
        <v>5.927977066</v>
      </c>
      <c r="W33" s="68">
        <f>IFERROR(__xludf.DUMMYFUNCTION("""COMPUTED_VALUE"""),8.408452121909969)</f>
        <v>8.408452122</v>
      </c>
      <c r="X33" s="68">
        <f>IFERROR(__xludf.DUMMYFUNCTION("""COMPUTED_VALUE"""),-2.480475056001703)</f>
        <v>-2.480475056</v>
      </c>
      <c r="Y33" s="66">
        <f>IFERROR(__xludf.DUMMYFUNCTION("""COMPUTED_VALUE"""),-1.384461299393223)</f>
        <v>-1.384461299</v>
      </c>
      <c r="Z33" s="65">
        <f>IFERROR(__xludf.DUMMYFUNCTION("""COMPUTED_VALUE"""),384.18078817733993)</f>
        <v>384.1807882</v>
      </c>
      <c r="AA33" s="66" t="str">
        <f>IFERROR(__xludf.DUMMYFUNCTION("""COMPUTED_VALUE"""),"VERY BAD")</f>
        <v>VERY BAD</v>
      </c>
    </row>
    <row r="34">
      <c r="A34" s="55">
        <v>2023.0</v>
      </c>
      <c r="B34" s="56" t="s">
        <v>21</v>
      </c>
      <c r="C34" s="57" t="s">
        <v>64</v>
      </c>
      <c r="D34" s="58">
        <f>IFERROR(__xludf.DUMMYFUNCTION("""COMPUTED_VALUE"""),190675.09000000003)</f>
        <v>190675.09</v>
      </c>
      <c r="E34" s="58">
        <f>IFERROR(__xludf.DUMMYFUNCTION("""COMPUTED_VALUE"""),172720.15)</f>
        <v>172720.15</v>
      </c>
      <c r="F34" s="58">
        <f t="shared" si="1"/>
        <v>17954.94</v>
      </c>
      <c r="G34" s="59" t="str">
        <f>IFERROR(__xludf.DUMMYFUNCTION("""COMPUTED_VALUE"""),"Chop Cheong Bee Sdn Bhd")</f>
        <v>Chop Cheong Bee Sdn Bhd</v>
      </c>
      <c r="H34" s="60">
        <f>IFERROR(__xludf.DUMMYFUNCTION("""COMPUTED_VALUE"""),15000.0)</f>
        <v>15000</v>
      </c>
      <c r="I34" s="61">
        <f>IFERROR(__xludf.DUMMYFUNCTION("""COMPUTED_VALUE"""),2.0)</f>
        <v>2</v>
      </c>
      <c r="J34" s="60">
        <f>IFERROR(__xludf.DUMMYFUNCTION("""COMPUTED_VALUE"""),660.0)</f>
        <v>660</v>
      </c>
      <c r="K34" s="62">
        <f>IFERROR(__xludf.DUMMYFUNCTION("""COMPUTED_VALUE"""),0.044)</f>
        <v>0.044</v>
      </c>
      <c r="L34" s="62">
        <f>IFERROR(__xludf.DUMMYFUNCTION("""COMPUTED_VALUE"""),0.956)</f>
        <v>0.956</v>
      </c>
      <c r="M34" s="63">
        <f>IFERROR(__xludf.DUMMYFUNCTION("""COMPUTED_VALUE"""),35.0)</f>
        <v>35</v>
      </c>
      <c r="N34" s="63">
        <f>IFERROR(__xludf.DUMMYFUNCTION("""COMPUTED_VALUE"""),958.1534399999999)</f>
        <v>958.15344</v>
      </c>
      <c r="O34" s="59">
        <f>IFERROR(__xludf.DUMMYFUNCTION("""COMPUTED_VALUE"""),1.49)</f>
        <v>1.49</v>
      </c>
      <c r="P34" s="60">
        <f>IFERROR(__xludf.DUMMYFUNCTION("""COMPUTED_VALUE"""),14340.0)</f>
        <v>14340</v>
      </c>
      <c r="Q34" s="58">
        <f>IFERROR(__xludf.DUMMYFUNCTION("""COMPUTED_VALUE"""),32152.8)</f>
        <v>32152.8</v>
      </c>
      <c r="R34" s="58">
        <f>IFERROR(__xludf.DUMMYFUNCTION("""COMPUTED_VALUE"""),2.2421757322175733)</f>
        <v>2.242175732</v>
      </c>
      <c r="S34" s="58">
        <f>IFERROR(__xludf.DUMMYFUNCTION("""COMPUTED_VALUE"""),13.296728730822874)</f>
        <v>13.29672873</v>
      </c>
      <c r="T34" s="69">
        <f>IFERROR(__xludf.DUMMYFUNCTION("""COMPUTED_VALUE"""),12.044640864714086)</f>
        <v>12.04464086</v>
      </c>
      <c r="U34" s="69">
        <f>IFERROR(__xludf.DUMMYFUNCTION("""COMPUTED_VALUE"""),1.2520878661087889)</f>
        <v>1.252087866</v>
      </c>
      <c r="V34" s="69">
        <f>IFERROR(__xludf.DUMMYFUNCTION("""COMPUTED_VALUE"""),5.9302794779925865)</f>
        <v>5.930279478</v>
      </c>
      <c r="W34" s="68">
        <f>IFERROR(__xludf.DUMMYFUNCTION("""COMPUTED_VALUE"""),5.371854084247717)</f>
        <v>5.371854084</v>
      </c>
      <c r="X34" s="68">
        <f>IFERROR(__xludf.DUMMYFUNCTION("""COMPUTED_VALUE"""),0.5584253937448693)</f>
        <v>0.5584253937</v>
      </c>
      <c r="Y34" s="66">
        <f>IFERROR(__xludf.DUMMYFUNCTION("""COMPUTED_VALUE"""),1.2520878661087889)</f>
        <v>1.252087866</v>
      </c>
      <c r="Z34" s="65">
        <f>IFERROR(__xludf.DUMMYFUNCTION("""COMPUTED_VALUE"""),359.6510067114094)</f>
        <v>359.6510067</v>
      </c>
      <c r="AA34" s="66" t="str">
        <f>IFERROR(__xludf.DUMMYFUNCTION("""COMPUTED_VALUE"""),"VERY GOOD")</f>
        <v>VERY GOOD</v>
      </c>
    </row>
    <row r="35">
      <c r="A35" s="55">
        <v>2023.0</v>
      </c>
      <c r="B35" s="56" t="s">
        <v>21</v>
      </c>
      <c r="C35" s="57" t="s">
        <v>65</v>
      </c>
      <c r="D35" s="58">
        <f>IFERROR(__xludf.DUMMYFUNCTION("""COMPUTED_VALUE"""),196358.74)</f>
        <v>196358.74</v>
      </c>
      <c r="E35" s="58">
        <f>IFERROR(__xludf.DUMMYFUNCTION("""COMPUTED_VALUE"""),166335.73)</f>
        <v>166335.73</v>
      </c>
      <c r="F35" s="58">
        <f t="shared" si="1"/>
        <v>30023.01</v>
      </c>
      <c r="G35" s="59" t="str">
        <f>IFERROR(__xludf.DUMMYFUNCTION("""COMPUTED_VALUE"""),"Chop Cheong Bee Sdn Bhd")</f>
        <v>Chop Cheong Bee Sdn Bhd</v>
      </c>
      <c r="H35" s="60">
        <f>IFERROR(__xludf.DUMMYFUNCTION("""COMPUTED_VALUE"""),15000.0)</f>
        <v>15000</v>
      </c>
      <c r="I35" s="61">
        <f>IFERROR(__xludf.DUMMYFUNCTION("""COMPUTED_VALUE"""),2.02)</f>
        <v>2.02</v>
      </c>
      <c r="J35" s="60">
        <f>IFERROR(__xludf.DUMMYFUNCTION("""COMPUTED_VALUE"""),370.0)</f>
        <v>370</v>
      </c>
      <c r="K35" s="62">
        <f>IFERROR(__xludf.DUMMYFUNCTION("""COMPUTED_VALUE"""),0.0247)</f>
        <v>0.0247</v>
      </c>
      <c r="L35" s="62">
        <f>IFERROR(__xludf.DUMMYFUNCTION("""COMPUTED_VALUE"""),0.9753333333333334)</f>
        <v>0.9753333333</v>
      </c>
      <c r="M35" s="63">
        <f>IFERROR(__xludf.DUMMYFUNCTION("""COMPUTED_VALUE"""),35.0)</f>
        <v>35</v>
      </c>
      <c r="N35" s="63">
        <f>IFERROR(__xludf.DUMMYFUNCTION("""COMPUTED_VALUE"""),993.4632)</f>
        <v>993.4632</v>
      </c>
      <c r="O35" s="59">
        <f>IFERROR(__xludf.DUMMYFUNCTION("""COMPUTED_VALUE"""),1.5)</f>
        <v>1.5</v>
      </c>
      <c r="P35" s="60">
        <f>IFERROR(__xludf.DUMMYFUNCTION("""COMPUTED_VALUE"""),14630.0)</f>
        <v>14630</v>
      </c>
      <c r="Q35" s="58">
        <f>IFERROR(__xludf.DUMMYFUNCTION("""COMPUTED_VALUE"""),33115.44)</f>
        <v>33115.44</v>
      </c>
      <c r="R35" s="60">
        <f>IFERROR(__xludf.DUMMYFUNCTION("""COMPUTED_VALUE"""),2.2635297334244706)</f>
        <v>2.263529733</v>
      </c>
      <c r="S35" s="58">
        <f>IFERROR(__xludf.DUMMYFUNCTION("""COMPUTED_VALUE"""),13.421650034176348)</f>
        <v>13.42165003</v>
      </c>
      <c r="T35" s="60">
        <f>IFERROR(__xludf.DUMMYFUNCTION("""COMPUTED_VALUE"""),11.369496240601505)</f>
        <v>11.36949624</v>
      </c>
      <c r="U35" s="60">
        <f>IFERROR(__xludf.DUMMYFUNCTION("""COMPUTED_VALUE"""),2.052153793574845)</f>
        <v>2.052153794</v>
      </c>
      <c r="V35" s="60">
        <f>IFERROR(__xludf.DUMMYFUNCTION("""COMPUTED_VALUE"""),5.929522301379658)</f>
        <v>5.929522301</v>
      </c>
      <c r="W35" s="68">
        <f>IFERROR(__xludf.DUMMYFUNCTION("""COMPUTED_VALUE"""),5.02290562951904)</f>
        <v>5.02290563</v>
      </c>
      <c r="X35" s="68">
        <f>IFERROR(__xludf.DUMMYFUNCTION("""COMPUTED_VALUE"""),0.9066166718606175)</f>
        <v>0.9066166719</v>
      </c>
      <c r="Y35" s="66">
        <f>IFERROR(__xludf.DUMMYFUNCTION("""COMPUTED_VALUE"""),2.052153793574845)</f>
        <v>2.052153794</v>
      </c>
      <c r="Z35" s="65">
        <f>IFERROR(__xludf.DUMMYFUNCTION("""COMPUTED_VALUE"""),367.9493333333334)</f>
        <v>367.9493333</v>
      </c>
      <c r="AA35" s="66" t="str">
        <f>IFERROR(__xludf.DUMMYFUNCTION("""COMPUTED_VALUE"""),"VERY GOOD")</f>
        <v>VERY GOOD</v>
      </c>
    </row>
    <row r="36">
      <c r="A36" s="55">
        <v>2023.0</v>
      </c>
      <c r="B36" s="56" t="s">
        <v>21</v>
      </c>
      <c r="C36" s="57" t="s">
        <v>66</v>
      </c>
      <c r="D36" s="58">
        <f>IFERROR(__xludf.DUMMYFUNCTION("""COMPUTED_VALUE"""),205946.35)</f>
        <v>205946.35</v>
      </c>
      <c r="E36" s="58">
        <f>IFERROR(__xludf.DUMMYFUNCTION("""COMPUTED_VALUE"""),176814.82)</f>
        <v>176814.82</v>
      </c>
      <c r="F36" s="58">
        <f t="shared" si="1"/>
        <v>29131.53</v>
      </c>
      <c r="G36" s="59" t="str">
        <f>IFERROR(__xludf.DUMMYFUNCTION("""COMPUTED_VALUE"""),"Chop Cheong Bee Sdn Bhd")</f>
        <v>Chop Cheong Bee Sdn Bhd</v>
      </c>
      <c r="H36" s="60">
        <f>IFERROR(__xludf.DUMMYFUNCTION("""COMPUTED_VALUE"""),15000.0)</f>
        <v>15000</v>
      </c>
      <c r="I36" s="61">
        <f>IFERROR(__xludf.DUMMYFUNCTION("""COMPUTED_VALUE"""),2.03)</f>
        <v>2.03</v>
      </c>
      <c r="J36" s="60">
        <f>IFERROR(__xludf.DUMMYFUNCTION("""COMPUTED_VALUE"""),450.0)</f>
        <v>450</v>
      </c>
      <c r="K36" s="62">
        <f>IFERROR(__xludf.DUMMYFUNCTION("""COMPUTED_VALUE"""),0.03)</f>
        <v>0.03</v>
      </c>
      <c r="L36" s="62">
        <f>IFERROR(__xludf.DUMMYFUNCTION("""COMPUTED_VALUE"""),0.97)</f>
        <v>0.97</v>
      </c>
      <c r="M36" s="63">
        <f>IFERROR(__xludf.DUMMYFUNCTION("""COMPUTED_VALUE"""),35.0)</f>
        <v>35</v>
      </c>
      <c r="N36" s="63">
        <f>IFERROR(__xludf.DUMMYFUNCTION("""COMPUTED_VALUE"""),1084.2986)</f>
        <v>1084.2986</v>
      </c>
      <c r="O36" s="59">
        <f>IFERROR(__xludf.DUMMYFUNCTION("""COMPUTED_VALUE"""),1.54)</f>
        <v>1.54</v>
      </c>
      <c r="P36" s="60">
        <f>IFERROR(__xludf.DUMMYFUNCTION("""COMPUTED_VALUE"""),14550.0)</f>
        <v>14550</v>
      </c>
      <c r="Q36" s="58">
        <f>IFERROR(__xludf.DUMMYFUNCTION("""COMPUTED_VALUE"""),35204.5)</f>
        <v>35204.5</v>
      </c>
      <c r="R36" s="58">
        <f>IFERROR(__xludf.DUMMYFUNCTION("""COMPUTED_VALUE"""),2.419553264604811)</f>
        <v>2.419553265</v>
      </c>
      <c r="S36" s="58">
        <f>IFERROR(__xludf.DUMMYFUNCTION("""COMPUTED_VALUE"""),14.154388316151204)</f>
        <v>14.15438832</v>
      </c>
      <c r="T36" s="58">
        <f>IFERROR(__xludf.DUMMYFUNCTION("""COMPUTED_VALUE"""),12.152221305841925)</f>
        <v>12.15222131</v>
      </c>
      <c r="U36" s="58">
        <f>IFERROR(__xludf.DUMMYFUNCTION("""COMPUTED_VALUE"""),2.0021670103092783)</f>
        <v>2.00216701</v>
      </c>
      <c r="V36" s="58">
        <f>IFERROR(__xludf.DUMMYFUNCTION("""COMPUTED_VALUE"""),5.850000710136489)</f>
        <v>5.85000071</v>
      </c>
      <c r="W36" s="68">
        <f>IFERROR(__xludf.DUMMYFUNCTION("""COMPUTED_VALUE"""),5.022506213694272)</f>
        <v>5.022506214</v>
      </c>
      <c r="X36" s="68">
        <f>IFERROR(__xludf.DUMMYFUNCTION("""COMPUTED_VALUE"""),0.8274944964422168)</f>
        <v>0.8274944964</v>
      </c>
      <c r="Y36" s="66">
        <f>IFERROR(__xludf.DUMMYFUNCTION("""COMPUTED_VALUE"""),2.0021670103092783)</f>
        <v>2.00216701</v>
      </c>
      <c r="Z36" s="65">
        <f>IFERROR(__xludf.DUMMYFUNCTION("""COMPUTED_VALUE"""),381.0010822510822)</f>
        <v>381.0010823</v>
      </c>
      <c r="AA36" s="66" t="str">
        <f>IFERROR(__xludf.DUMMYFUNCTION("""COMPUTED_VALUE"""),"VERY GOOD")</f>
        <v>VERY GOOD</v>
      </c>
    </row>
    <row r="37">
      <c r="A37" s="70">
        <v>2024.0</v>
      </c>
      <c r="B37" s="71" t="s">
        <v>12</v>
      </c>
      <c r="C37" s="72" t="s">
        <v>69</v>
      </c>
      <c r="D37" s="73">
        <v>446501.15</v>
      </c>
      <c r="E37" s="73">
        <v>442766.34</v>
      </c>
      <c r="F37" s="73">
        <f t="shared" si="1"/>
        <v>3734.81</v>
      </c>
      <c r="G37" s="74" t="str">
        <f>IFERROR(__xludf.DUMMYFUNCTION("TRANSPOSE(IMPORTRANGE(""1o4Ac6NI0SfLibsumFt9f9lHwJFVrF2ykccRsQvuxGAI"", ""2024!C49:G69""))"),"Kee Sung Agriculture (M) Sdn Bhd")</f>
        <v>Kee Sung Agriculture (M) Sdn Bhd</v>
      </c>
      <c r="H37" s="75">
        <f>IFERROR(__xludf.DUMMYFUNCTION("""COMPUTED_VALUE"""),35000.0)</f>
        <v>35000</v>
      </c>
      <c r="I37" s="76">
        <f>IFERROR(__xludf.DUMMYFUNCTION("""COMPUTED_VALUE"""),2.13)</f>
        <v>2.13</v>
      </c>
      <c r="J37" s="75">
        <f>IFERROR(__xludf.DUMMYFUNCTION("""COMPUTED_VALUE"""),2691.0)</f>
        <v>2691</v>
      </c>
      <c r="K37" s="77">
        <f>IFERROR(__xludf.DUMMYFUNCTION("""COMPUTED_VALUE"""),0.07688571428571428)</f>
        <v>0.07688571429</v>
      </c>
      <c r="L37" s="77">
        <f>IFERROR(__xludf.DUMMYFUNCTION("""COMPUTED_VALUE"""),0.9231142857142857)</f>
        <v>0.9231142857</v>
      </c>
      <c r="M37" s="78">
        <f>IFERROR(__xludf.DUMMYFUNCTION("""COMPUTED_VALUE"""),35.0)</f>
        <v>35</v>
      </c>
      <c r="N37" s="75">
        <f>IFERROR(__xludf.DUMMYFUNCTION("""COMPUTED_VALUE"""),2583.87)</f>
        <v>2583.87</v>
      </c>
      <c r="O37" s="74">
        <f>IFERROR(__xludf.DUMMYFUNCTION("""COMPUTED_VALUE"""),1.72)</f>
        <v>1.72</v>
      </c>
      <c r="P37" s="75">
        <f>IFERROR(__xludf.DUMMYFUNCTION("""COMPUTED_VALUE"""),32309.0)</f>
        <v>32309</v>
      </c>
      <c r="Q37" s="73">
        <f>IFERROR(__xludf.DUMMYFUNCTION("""COMPUTED_VALUE"""),75112.5)</f>
        <v>75112.5</v>
      </c>
      <c r="R37" s="73">
        <f>IFERROR(__xludf.DUMMYFUNCTION("""COMPUTED_VALUE"""),2.324816614565601)</f>
        <v>2.324816615</v>
      </c>
      <c r="S37" s="73">
        <f>IFERROR(__xludf.DUMMYFUNCTION("""COMPUTED_VALUE"""),13.819714321087003)</f>
        <v>13.81971432</v>
      </c>
      <c r="T37" s="79">
        <f>IFERROR(__xludf.DUMMYFUNCTION("""COMPUTED_VALUE"""),13.704117738091556)</f>
        <v>13.70411774</v>
      </c>
      <c r="U37" s="79">
        <f>IFERROR(__xludf.DUMMYFUNCTION("""COMPUTED_VALUE"""),0.1155965829954475)</f>
        <v>0.115596583</v>
      </c>
      <c r="V37" s="79">
        <f>IFERROR(__xludf.DUMMYFUNCTION("""COMPUTED_VALUE"""),5.944432018638709)</f>
        <v>5.944432019</v>
      </c>
      <c r="W37" s="79">
        <f>IFERROR(__xludf.DUMMYFUNCTION("""COMPUTED_VALUE"""),5.894709136295558)</f>
        <v>5.894709136</v>
      </c>
      <c r="X37" s="79">
        <f>IFERROR(__xludf.DUMMYFUNCTION("""COMPUTED_VALUE"""),0.049722882343151475)</f>
        <v>0.04972288234</v>
      </c>
      <c r="Y37" s="79">
        <f>IFERROR(__xludf.DUMMYFUNCTION("""COMPUTED_VALUE"""),0.11559658299544831)</f>
        <v>0.115596583</v>
      </c>
      <c r="Z37" s="80">
        <f>IFERROR(__xludf.DUMMYFUNCTION("""COMPUTED_VALUE"""),356.4902705268154)</f>
        <v>356.4902705</v>
      </c>
      <c r="AA37" s="81" t="str">
        <f>IFERROR(__xludf.DUMMYFUNCTION("""COMPUTED_VALUE"""),"VERY BAD")</f>
        <v>VERY BAD</v>
      </c>
    </row>
    <row r="38">
      <c r="A38" s="70">
        <v>2024.0</v>
      </c>
      <c r="B38" s="71" t="s">
        <v>12</v>
      </c>
      <c r="C38" s="72" t="s">
        <v>70</v>
      </c>
      <c r="D38" s="73">
        <v>448473.34</v>
      </c>
      <c r="E38" s="73">
        <v>437963.43</v>
      </c>
      <c r="F38" s="73">
        <f t="shared" si="1"/>
        <v>10509.91</v>
      </c>
      <c r="G38" s="74" t="str">
        <f>IFERROR(__xludf.DUMMYFUNCTION("""COMPUTED_VALUE"""),"Kee Sung Agriculture (M) Sdn Bhd")</f>
        <v>Kee Sung Agriculture (M) Sdn Bhd</v>
      </c>
      <c r="H38" s="75">
        <f>IFERROR(__xludf.DUMMYFUNCTION("""COMPUTED_VALUE"""),36600.0)</f>
        <v>36600</v>
      </c>
      <c r="I38" s="76">
        <f>IFERROR(__xludf.DUMMYFUNCTION("""COMPUTED_VALUE"""),2.13)</f>
        <v>2.13</v>
      </c>
      <c r="J38" s="75">
        <f>IFERROR(__xludf.DUMMYFUNCTION("""COMPUTED_VALUE"""),2645.0)</f>
        <v>2645</v>
      </c>
      <c r="K38" s="77">
        <f>IFERROR(__xludf.DUMMYFUNCTION("""COMPUTED_VALUE"""),0.07226775956284152)</f>
        <v>0.07226775956</v>
      </c>
      <c r="L38" s="77">
        <f>IFERROR(__xludf.DUMMYFUNCTION("""COMPUTED_VALUE"""),0.9277322404371585)</f>
        <v>0.9277322404</v>
      </c>
      <c r="M38" s="78">
        <f>IFERROR(__xludf.DUMMYFUNCTION("""COMPUTED_VALUE"""),35.0)</f>
        <v>35</v>
      </c>
      <c r="N38" s="75">
        <f>IFERROR(__xludf.DUMMYFUNCTION("""COMPUTED_VALUE"""),2490.6386999999995)</f>
        <v>2490.6387</v>
      </c>
      <c r="O38" s="74">
        <f>IFERROR(__xludf.DUMMYFUNCTION("""COMPUTED_VALUE"""),1.65)</f>
        <v>1.65</v>
      </c>
      <c r="P38" s="75">
        <f>IFERROR(__xludf.DUMMYFUNCTION("""COMPUTED_VALUE"""),33955.0)</f>
        <v>33955</v>
      </c>
      <c r="Q38" s="73">
        <f>IFERROR(__xludf.DUMMYFUNCTION("""COMPUTED_VALUE"""),75473.9)</f>
        <v>75473.9</v>
      </c>
      <c r="R38" s="73">
        <f>IFERROR(__xludf.DUMMYFUNCTION("""COMPUTED_VALUE"""),2.2227624797526135)</f>
        <v>2.22276248</v>
      </c>
      <c r="S38" s="73">
        <f>IFERROR(__xludf.DUMMYFUNCTION("""COMPUTED_VALUE"""),13.197953173317627)</f>
        <v>13.19795317</v>
      </c>
      <c r="T38" s="79">
        <f>IFERROR(__xludf.DUMMYFUNCTION("""COMPUTED_VALUE"""),12.898348696804595)</f>
        <v>12.8983487</v>
      </c>
      <c r="U38" s="79">
        <f>IFERROR(__xludf.DUMMYFUNCTION("""COMPUTED_VALUE"""),0.2996044765130321)</f>
        <v>0.2996044765</v>
      </c>
      <c r="V38" s="79">
        <f>IFERROR(__xludf.DUMMYFUNCTION("""COMPUTED_VALUE"""),5.9376353944873665)</f>
        <v>5.937635394</v>
      </c>
      <c r="W38" s="79">
        <f>IFERROR(__xludf.DUMMYFUNCTION("""COMPUTED_VALUE"""),5.80284614946359)</f>
        <v>5.802846149</v>
      </c>
      <c r="X38" s="79">
        <f>IFERROR(__xludf.DUMMYFUNCTION("""COMPUTED_VALUE"""),0.13478924502377687)</f>
        <v>0.134789245</v>
      </c>
      <c r="Y38" s="79">
        <f>IFERROR(__xludf.DUMMYFUNCTION("""COMPUTED_VALUE"""),0.30952466499779213)</f>
        <v>0.309524665</v>
      </c>
      <c r="Z38" s="80">
        <f>IFERROR(__xludf.DUMMYFUNCTION("""COMPUTED_VALUE"""),357.0785134719561)</f>
        <v>357.0785135</v>
      </c>
      <c r="AA38" s="81" t="str">
        <f>IFERROR(__xludf.DUMMYFUNCTION("""COMPUTED_VALUE"""),"VERY BAD")</f>
        <v>VERY BAD</v>
      </c>
    </row>
    <row r="39">
      <c r="A39" s="70">
        <v>2024.0</v>
      </c>
      <c r="B39" s="71" t="s">
        <v>12</v>
      </c>
      <c r="C39" s="72" t="s">
        <v>71</v>
      </c>
      <c r="D39" s="73">
        <v>219283.71</v>
      </c>
      <c r="E39" s="73">
        <v>231534.81</v>
      </c>
      <c r="F39" s="73">
        <f t="shared" si="1"/>
        <v>-12251.1</v>
      </c>
      <c r="G39" s="74" t="str">
        <f>IFERROR(__xludf.DUMMYFUNCTION("""COMPUTED_VALUE"""),"Kee Sung Agriculture (M) Sdn Bhd")</f>
        <v>Kee Sung Agriculture (M) Sdn Bhd</v>
      </c>
      <c r="H39" s="75">
        <f>IFERROR(__xludf.DUMMYFUNCTION("""COMPUTED_VALUE"""),18500.0)</f>
        <v>18500</v>
      </c>
      <c r="I39" s="76">
        <f>IFERROR(__xludf.DUMMYFUNCTION("""COMPUTED_VALUE"""),2.13)</f>
        <v>2.13</v>
      </c>
      <c r="J39" s="75">
        <f>IFERROR(__xludf.DUMMYFUNCTION("""COMPUTED_VALUE"""),1301.0)</f>
        <v>1301</v>
      </c>
      <c r="K39" s="77">
        <f>IFERROR(__xludf.DUMMYFUNCTION("""COMPUTED_VALUE"""),0.07032432432432432)</f>
        <v>0.07032432432</v>
      </c>
      <c r="L39" s="77">
        <f>IFERROR(__xludf.DUMMYFUNCTION("""COMPUTED_VALUE"""),0.9296756756756757)</f>
        <v>0.9296756757</v>
      </c>
      <c r="M39" s="78">
        <f>IFERROR(__xludf.DUMMYFUNCTION("""COMPUTED_VALUE"""),35.0)</f>
        <v>35</v>
      </c>
      <c r="N39" s="75">
        <f>IFERROR(__xludf.DUMMYFUNCTION("""COMPUTED_VALUE"""),1216.1952)</f>
        <v>1216.1952</v>
      </c>
      <c r="O39" s="74">
        <f>IFERROR(__xludf.DUMMYFUNCTION("""COMPUTED_VALUE"""),1.65)</f>
        <v>1.65</v>
      </c>
      <c r="P39" s="75">
        <f>IFERROR(__xludf.DUMMYFUNCTION("""COMPUTED_VALUE"""),17199.0)</f>
        <v>17199</v>
      </c>
      <c r="Q39" s="73">
        <f>IFERROR(__xludf.DUMMYFUNCTION("""COMPUTED_VALUE"""),36854.4)</f>
        <v>36854.4</v>
      </c>
      <c r="R39" s="73">
        <f>IFERROR(__xludf.DUMMYFUNCTION("""COMPUTED_VALUE"""),2.1428222571079716)</f>
        <v>2.142822257</v>
      </c>
      <c r="S39" s="73">
        <f>IFERROR(__xludf.DUMMYFUNCTION("""COMPUTED_VALUE"""),12.749794174079888)</f>
        <v>12.74979417</v>
      </c>
      <c r="T39" s="79">
        <f>IFERROR(__xludf.DUMMYFUNCTION("""COMPUTED_VALUE"""),13.462108843537415)</f>
        <v>13.46210884</v>
      </c>
      <c r="U39" s="79">
        <f>IFERROR(__xludf.DUMMYFUNCTION("""COMPUTED_VALUE"""),-0.7123146694575269)</f>
        <v>-0.7123146695</v>
      </c>
      <c r="V39" s="79">
        <f>IFERROR(__xludf.DUMMYFUNCTION("""COMPUTED_VALUE"""),5.950000814014066)</f>
        <v>5.950000814</v>
      </c>
      <c r="W39" s="79">
        <f>IFERROR(__xludf.DUMMYFUNCTION("""COMPUTED_VALUE"""),6.282419738213076)</f>
        <v>6.282419738</v>
      </c>
      <c r="X39" s="79">
        <f>IFERROR(__xludf.DUMMYFUNCTION("""COMPUTED_VALUE"""),-0.3324189241990103)</f>
        <v>-0.3324189242</v>
      </c>
      <c r="Y39" s="79">
        <f>IFERROR(__xludf.DUMMYFUNCTION("""COMPUTED_VALUE"""),-0.712314669457527)</f>
        <v>-0.7123146695</v>
      </c>
      <c r="Z39" s="80">
        <f>IFERROR(__xludf.DUMMYFUNCTION("""COMPUTED_VALUE"""),344.957528957529)</f>
        <v>344.957529</v>
      </c>
      <c r="AA39" s="81" t="str">
        <f>IFERROR(__xludf.DUMMYFUNCTION("""COMPUTED_VALUE"""),"VERY BAD")</f>
        <v>VERY BAD</v>
      </c>
    </row>
    <row r="40">
      <c r="A40" s="70">
        <v>2024.0</v>
      </c>
      <c r="B40" s="71" t="s">
        <v>12</v>
      </c>
      <c r="C40" s="72" t="s">
        <v>72</v>
      </c>
      <c r="D40" s="73">
        <v>270373.8</v>
      </c>
      <c r="E40" s="73">
        <v>299993.19</v>
      </c>
      <c r="F40" s="73">
        <f t="shared" si="1"/>
        <v>-29619.39</v>
      </c>
      <c r="G40" s="74" t="str">
        <f>IFERROR(__xludf.DUMMYFUNCTION("""COMPUTED_VALUE"""),"Kee Sung Agriculture (M) Sdn Bhd")</f>
        <v>Kee Sung Agriculture (M) Sdn Bhd</v>
      </c>
      <c r="H40" s="75">
        <f>IFERROR(__xludf.DUMMYFUNCTION("""COMPUTED_VALUE"""),24000.0)</f>
        <v>24000</v>
      </c>
      <c r="I40" s="76">
        <f>IFERROR(__xludf.DUMMYFUNCTION("""COMPUTED_VALUE"""),2.13)</f>
        <v>2.13</v>
      </c>
      <c r="J40" s="75">
        <f>IFERROR(__xludf.DUMMYFUNCTION("""COMPUTED_VALUE"""),3154.0)</f>
        <v>3154</v>
      </c>
      <c r="K40" s="77">
        <f>IFERROR(__xludf.DUMMYFUNCTION("""COMPUTED_VALUE"""),0.13141666666666665)</f>
        <v>0.1314166667</v>
      </c>
      <c r="L40" s="77">
        <f>IFERROR(__xludf.DUMMYFUNCTION("""COMPUTED_VALUE"""),0.8685833333333334)</f>
        <v>0.8685833333</v>
      </c>
      <c r="M40" s="78">
        <f>IFERROR(__xludf.DUMMYFUNCTION("""COMPUTED_VALUE"""),35.0)</f>
        <v>35</v>
      </c>
      <c r="N40" s="75">
        <f>IFERROR(__xludf.DUMMYFUNCTION("""COMPUTED_VALUE"""),1696.4204)</f>
        <v>1696.4204</v>
      </c>
      <c r="O40" s="74">
        <f>IFERROR(__xludf.DUMMYFUNCTION("""COMPUTED_VALUE"""),1.85)</f>
        <v>1.85</v>
      </c>
      <c r="P40" s="75">
        <f>IFERROR(__xludf.DUMMYFUNCTION("""COMPUTED_VALUE"""),20846.0)</f>
        <v>20846</v>
      </c>
      <c r="Q40" s="73">
        <f>IFERROR(__xludf.DUMMYFUNCTION("""COMPUTED_VALUE"""),45849.2)</f>
        <v>45849.2</v>
      </c>
      <c r="R40" s="73">
        <f>IFERROR(__xludf.DUMMYFUNCTION("""COMPUTED_VALUE"""),2.1994243499952026)</f>
        <v>2.19942435</v>
      </c>
      <c r="S40" s="73">
        <f>IFERROR(__xludf.DUMMYFUNCTION("""COMPUTED_VALUE"""),12.970056605583805)</f>
        <v>12.97005661</v>
      </c>
      <c r="T40" s="79">
        <f>IFERROR(__xludf.DUMMYFUNCTION("""COMPUTED_VALUE"""),14.390923438549363)</f>
        <v>14.39092344</v>
      </c>
      <c r="U40" s="79">
        <f>IFERROR(__xludf.DUMMYFUNCTION("""COMPUTED_VALUE"""),-1.420866832965558)</f>
        <v>-1.420866833</v>
      </c>
      <c r="V40" s="79">
        <f>IFERROR(__xludf.DUMMYFUNCTION("""COMPUTED_VALUE"""),5.8970232850300555)</f>
        <v>5.897023285</v>
      </c>
      <c r="W40" s="79">
        <f>IFERROR(__xludf.DUMMYFUNCTION("""COMPUTED_VALUE"""),6.543040881847448)</f>
        <v>6.543040882</v>
      </c>
      <c r="X40" s="79">
        <f>IFERROR(__xludf.DUMMYFUNCTION("""COMPUTED_VALUE"""),-0.6460175968173925)</f>
        <v>-0.6460175968</v>
      </c>
      <c r="Y40" s="79">
        <f>IFERROR(__xludf.DUMMYFUNCTION("""COMPUTED_VALUE"""),-1.4208668329655576)</f>
        <v>-1.420866833</v>
      </c>
      <c r="Z40" s="80">
        <f>IFERROR(__xludf.DUMMYFUNCTION("""COMPUTED_VALUE"""),295.039897039897)</f>
        <v>295.039897</v>
      </c>
      <c r="AA40" s="81" t="str">
        <f>IFERROR(__xludf.DUMMYFUNCTION("""COMPUTED_VALUE"""),"VERY BAD")</f>
        <v>VERY BAD</v>
      </c>
    </row>
    <row r="41">
      <c r="A41" s="70">
        <v>2024.0</v>
      </c>
      <c r="B41" s="71" t="s">
        <v>12</v>
      </c>
      <c r="C41" s="72" t="s">
        <v>73</v>
      </c>
      <c r="D41" s="73">
        <v>382026.35</v>
      </c>
      <c r="E41" s="73">
        <v>410344.47</v>
      </c>
      <c r="F41" s="73">
        <f t="shared" si="1"/>
        <v>-28318.12</v>
      </c>
      <c r="G41" s="82" t="str">
        <f>IFERROR(__xludf.DUMMYFUNCTION("""COMPUTED_VALUE"""),"PTS Soultry Sdn Bhd")</f>
        <v>PTS Soultry Sdn Bhd</v>
      </c>
      <c r="H41" s="75">
        <f>IFERROR(__xludf.DUMMYFUNCTION("""COMPUTED_VALUE"""),30000.0)</f>
        <v>30000</v>
      </c>
      <c r="I41" s="76">
        <f>IFERROR(__xludf.DUMMYFUNCTION("""COMPUTED_VALUE"""),1.85)</f>
        <v>1.85</v>
      </c>
      <c r="J41" s="75">
        <f>IFERROR(__xludf.DUMMYFUNCTION("""COMPUTED_VALUE"""),1526.0)</f>
        <v>1526</v>
      </c>
      <c r="K41" s="77">
        <f>IFERROR(__xludf.DUMMYFUNCTION("""COMPUTED_VALUE"""),0.050866666666666664)</f>
        <v>0.05086666667</v>
      </c>
      <c r="L41" s="77">
        <f>IFERROR(__xludf.DUMMYFUNCTION("""COMPUTED_VALUE"""),0.9491333333333334)</f>
        <v>0.9491333333</v>
      </c>
      <c r="M41" s="78">
        <f>IFERROR(__xludf.DUMMYFUNCTION("""COMPUTED_VALUE"""),35.0)</f>
        <v>35</v>
      </c>
      <c r="N41" s="75">
        <f>IFERROR(__xludf.DUMMYFUNCTION("""COMPUTED_VALUE"""),2204.77182)</f>
        <v>2204.77182</v>
      </c>
      <c r="O41" s="74">
        <f>IFERROR(__xludf.DUMMYFUNCTION("""COMPUTED_VALUE"""),1.7)</f>
        <v>1.7</v>
      </c>
      <c r="P41" s="83">
        <f>IFERROR(__xludf.DUMMYFUNCTION("""COMPUTED_VALUE"""),28474.0)</f>
        <v>28474</v>
      </c>
      <c r="Q41" s="73">
        <f>IFERROR(__xludf.DUMMYFUNCTION("""COMPUTED_VALUE"""),64846.23)</f>
        <v>64846.23</v>
      </c>
      <c r="R41" s="73">
        <f>IFERROR(__xludf.DUMMYFUNCTION("""COMPUTED_VALUE"""),2.2773839291985674)</f>
        <v>2.277383929</v>
      </c>
      <c r="S41" s="73">
        <f>IFERROR(__xludf.DUMMYFUNCTION("""COMPUTED_VALUE"""),13.416673105289036)</f>
        <v>13.41667311</v>
      </c>
      <c r="T41" s="79">
        <f>IFERROR(__xludf.DUMMYFUNCTION("""COMPUTED_VALUE"""),14.411198637353378)</f>
        <v>14.41119864</v>
      </c>
      <c r="U41" s="79">
        <f>IFERROR(__xludf.DUMMYFUNCTION("""COMPUTED_VALUE"""),-0.9945255320643422)</f>
        <v>-0.9945255321</v>
      </c>
      <c r="V41" s="79">
        <f>IFERROR(__xludf.DUMMYFUNCTION("""COMPUTED_VALUE"""),5.891265382736976)</f>
        <v>5.891265383</v>
      </c>
      <c r="W41" s="79">
        <f>IFERROR(__xludf.DUMMYFUNCTION("""COMPUTED_VALUE"""),6.327961856841949)</f>
        <v>6.327961857</v>
      </c>
      <c r="X41" s="79">
        <f>IFERROR(__xludf.DUMMYFUNCTION("""COMPUTED_VALUE"""),-0.4366964741049726)</f>
        <v>-0.4366964741</v>
      </c>
      <c r="Y41" s="79">
        <f>IFERROR(__xludf.DUMMYFUNCTION("""COMPUTED_VALUE"""),-0.9945255320643434)</f>
        <v>-0.9945255321</v>
      </c>
      <c r="Z41" s="80">
        <f>IFERROR(__xludf.DUMMYFUNCTION("""COMPUTED_VALUE"""),363.2842016806723)</f>
        <v>363.2842017</v>
      </c>
      <c r="AA41" s="81" t="str">
        <f>IFERROR(__xludf.DUMMYFUNCTION("""COMPUTED_VALUE"""),"VERY BAD")</f>
        <v>VERY BAD</v>
      </c>
    </row>
    <row r="42">
      <c r="A42" s="70">
        <v>2024.0</v>
      </c>
      <c r="B42" s="71" t="s">
        <v>17</v>
      </c>
      <c r="C42" s="72" t="s">
        <v>69</v>
      </c>
      <c r="D42" s="73">
        <f>IFERROR(__xludf.DUMMYFUNCTION("TRANSPOSE(IMPORTRANGE(""1OP-qxVLNURBqstk-WZQd8qB2vYxDQLc8s35zWl_CMzo"", ""2024!C12:H12""))"),497542.19)</f>
        <v>497542.19</v>
      </c>
      <c r="E42" s="73">
        <f>IFERROR(__xludf.DUMMYFUNCTION("TRANSPOSE(IMPORTRANGE(""1OP-qxVLNURBqstk-WZQd8qB2vYxDQLc8s35zWl_CMzo"", ""2024!C39:H39""))"),493648.99)</f>
        <v>493648.99</v>
      </c>
      <c r="F42" s="73">
        <f t="shared" si="1"/>
        <v>3893.2</v>
      </c>
      <c r="G42" s="75" t="str">
        <f>IFERROR(__xludf.DUMMYFUNCTION("TRANSPOSE(IMPORTRANGE(""1OP-qxVLNURBqstk-WZQd8qB2vYxDQLc8s35zWl_CMzo"", ""2024!C47:H67""))"),"Chop Cheong Bee Sdn Bhd")</f>
        <v>Chop Cheong Bee Sdn Bhd</v>
      </c>
      <c r="H42" s="75">
        <f>IFERROR(__xludf.DUMMYFUNCTION("""COMPUTED_VALUE"""),42500.0)</f>
        <v>42500</v>
      </c>
      <c r="I42" s="76">
        <f>IFERROR(__xludf.DUMMYFUNCTION("""COMPUTED_VALUE"""),2.13)</f>
        <v>2.13</v>
      </c>
      <c r="J42" s="75">
        <f>IFERROR(__xludf.DUMMYFUNCTION("""COMPUTED_VALUE"""),1697.0)</f>
        <v>1697</v>
      </c>
      <c r="K42" s="77">
        <f>IFERROR(__xludf.DUMMYFUNCTION("""COMPUTED_VALUE"""),0.03992941176470588)</f>
        <v>0.03992941176</v>
      </c>
      <c r="L42" s="77">
        <f>IFERROR(__xludf.DUMMYFUNCTION("""COMPUTED_VALUE"""),0.9600705882352941)</f>
        <v>0.9600705882</v>
      </c>
      <c r="M42" s="78">
        <f>IFERROR(__xludf.DUMMYFUNCTION("""COMPUTED_VALUE"""),35.0)</f>
        <v>35</v>
      </c>
      <c r="N42" s="75">
        <f>IFERROR(__xludf.DUMMYFUNCTION("""COMPUTED_VALUE"""),2704.588092)</f>
        <v>2704.588092</v>
      </c>
      <c r="O42" s="74">
        <f>IFERROR(__xludf.DUMMYFUNCTION("""COMPUTED_VALUE"""),1.59)</f>
        <v>1.59</v>
      </c>
      <c r="P42" s="75">
        <f>IFERROR(__xludf.DUMMYFUNCTION("""COMPUTED_VALUE"""),40803.0)</f>
        <v>40803</v>
      </c>
      <c r="Q42" s="73">
        <f>IFERROR(__xludf.DUMMYFUNCTION("""COMPUTED_VALUE"""),85049.94)</f>
        <v>85049.94</v>
      </c>
      <c r="R42" s="73">
        <f>IFERROR(__xludf.DUMMYFUNCTION("""COMPUTED_VALUE"""),2.0844040879347108)</f>
        <v>2.084404088</v>
      </c>
      <c r="S42" s="73">
        <f>IFERROR(__xludf.DUMMYFUNCTION("""COMPUTED_VALUE"""),12.193764919246133)</f>
        <v>12.19376492</v>
      </c>
      <c r="T42" s="79">
        <f>IFERROR(__xludf.DUMMYFUNCTION("""COMPUTED_VALUE"""),12.098350366394628)</f>
        <v>12.09835037</v>
      </c>
      <c r="U42" s="79">
        <f>IFERROR(__xludf.DUMMYFUNCTION("""COMPUTED_VALUE"""),0.09541455285150491)</f>
        <v>0.09541455285</v>
      </c>
      <c r="V42" s="79">
        <f>IFERROR(__xludf.DUMMYFUNCTION("""COMPUTED_VALUE"""),5.850000482069711)</f>
        <v>5.850000482</v>
      </c>
      <c r="W42" s="79">
        <f>IFERROR(__xludf.DUMMYFUNCTION("""COMPUTED_VALUE"""),5.804225023556747)</f>
        <v>5.804225024</v>
      </c>
      <c r="X42" s="79">
        <f>IFERROR(__xludf.DUMMYFUNCTION("""COMPUTED_VALUE"""),0.045775458512963496)</f>
        <v>0.04577545851</v>
      </c>
      <c r="Y42" s="79">
        <f>IFERROR(__xludf.DUMMYFUNCTION("""COMPUTED_VALUE"""),0.0954145528515063)</f>
        <v>0.09541455285</v>
      </c>
      <c r="Z42" s="80">
        <f>IFERROR(__xludf.DUMMYFUNCTION("""COMPUTED_VALUE"""),359.6001902647851)</f>
        <v>359.6001903</v>
      </c>
      <c r="AA42" s="84" t="str">
        <f>IFERROR(__xludf.DUMMYFUNCTION("""COMPUTED_VALUE"""),"VERY BAD")</f>
        <v>VERY BAD</v>
      </c>
    </row>
    <row r="43">
      <c r="A43" s="70">
        <v>2024.0</v>
      </c>
      <c r="B43" s="71" t="s">
        <v>17</v>
      </c>
      <c r="C43" s="72" t="s">
        <v>70</v>
      </c>
      <c r="D43" s="73">
        <f>IFERROR(__xludf.DUMMYFUNCTION("""COMPUTED_VALUE"""),551885.77)</f>
        <v>551885.77</v>
      </c>
      <c r="E43" s="73">
        <f>IFERROR(__xludf.DUMMYFUNCTION("""COMPUTED_VALUE"""),480913.95)</f>
        <v>480913.95</v>
      </c>
      <c r="F43" s="73">
        <f t="shared" si="1"/>
        <v>70971.82</v>
      </c>
      <c r="G43" s="75" t="str">
        <f>IFERROR(__xludf.DUMMYFUNCTION("""COMPUTED_VALUE"""),"Chop Cheong Bee Sdn Bhd")</f>
        <v>Chop Cheong Bee Sdn Bhd</v>
      </c>
      <c r="H43" s="75">
        <f>IFERROR(__xludf.DUMMYFUNCTION("""COMPUTED_VALUE"""),43800.0)</f>
        <v>43800</v>
      </c>
      <c r="I43" s="76">
        <f>IFERROR(__xludf.DUMMYFUNCTION("""COMPUTED_VALUE"""),2.13)</f>
        <v>2.13</v>
      </c>
      <c r="J43" s="75">
        <f>IFERROR(__xludf.DUMMYFUNCTION("""COMPUTED_VALUE"""),1093.0)</f>
        <v>1093</v>
      </c>
      <c r="K43" s="77">
        <f>IFERROR(__xludf.DUMMYFUNCTION("""COMPUTED_VALUE"""),0.024954337899543377)</f>
        <v>0.0249543379</v>
      </c>
      <c r="L43" s="77">
        <f>IFERROR(__xludf.DUMMYFUNCTION("""COMPUTED_VALUE"""),0.9750456621004566)</f>
        <v>0.9750456621</v>
      </c>
      <c r="M43" s="78">
        <f>IFERROR(__xludf.DUMMYFUNCTION("""COMPUTED_VALUE"""),35.0)</f>
        <v>35</v>
      </c>
      <c r="N43" s="75">
        <f>IFERROR(__xludf.DUMMYFUNCTION("""COMPUTED_VALUE"""),2660.3722080000002)</f>
        <v>2660.372208</v>
      </c>
      <c r="O43" s="74">
        <f>IFERROR(__xludf.DUMMYFUNCTION("""COMPUTED_VALUE"""),1.41)</f>
        <v>1.41</v>
      </c>
      <c r="P43" s="75">
        <f>IFERROR(__xludf.DUMMYFUNCTION("""COMPUTED_VALUE"""),42707.0)</f>
        <v>42707</v>
      </c>
      <c r="Q43" s="73">
        <f>IFERROR(__xludf.DUMMYFUNCTION("""COMPUTED_VALUE"""),94339.44)</f>
        <v>94339.44</v>
      </c>
      <c r="R43" s="73">
        <f>IFERROR(__xludf.DUMMYFUNCTION("""COMPUTED_VALUE"""),2.2089924368370526)</f>
        <v>2.208992437</v>
      </c>
      <c r="S43" s="73">
        <f>IFERROR(__xludf.DUMMYFUNCTION("""COMPUTED_VALUE"""),12.922606832603554)</f>
        <v>12.92260683</v>
      </c>
      <c r="T43" s="79">
        <f>IFERROR(__xludf.DUMMYFUNCTION("""COMPUTED_VALUE"""),11.260775751047838)</f>
        <v>11.26077575</v>
      </c>
      <c r="U43" s="79">
        <f>IFERROR(__xludf.DUMMYFUNCTION("""COMPUTED_VALUE"""),1.6618310815557162)</f>
        <v>1.661831082</v>
      </c>
      <c r="V43" s="79">
        <f>IFERROR(__xludf.DUMMYFUNCTION("""COMPUTED_VALUE"""),5.850000487600944)</f>
        <v>5.850000488</v>
      </c>
      <c r="W43" s="79">
        <f>IFERROR(__xludf.DUMMYFUNCTION("""COMPUTED_VALUE"""),5.097697739142823)</f>
        <v>5.097697739</v>
      </c>
      <c r="X43" s="79">
        <f>IFERROR(__xludf.DUMMYFUNCTION("""COMPUTED_VALUE"""),0.7523027484581215)</f>
        <v>0.7523027485</v>
      </c>
      <c r="Y43" s="79">
        <f>IFERROR(__xludf.DUMMYFUNCTION("""COMPUTED_VALUE"""),1.6618310815557171)</f>
        <v>1.661831082</v>
      </c>
      <c r="Z43" s="80">
        <f>IFERROR(__xludf.DUMMYFUNCTION("""COMPUTED_VALUE"""),436.4475163425907)</f>
        <v>436.4475163</v>
      </c>
      <c r="AA43" s="84" t="str">
        <f>IFERROR(__xludf.DUMMYFUNCTION("""COMPUTED_VALUE"""),"VERY GOOD")</f>
        <v>VERY GOOD</v>
      </c>
    </row>
    <row r="44">
      <c r="A44" s="70">
        <v>2024.0</v>
      </c>
      <c r="B44" s="71" t="s">
        <v>17</v>
      </c>
      <c r="C44" s="72" t="s">
        <v>71</v>
      </c>
      <c r="D44" s="73">
        <f>IFERROR(__xludf.DUMMYFUNCTION("""COMPUTED_VALUE"""),533545.56)</f>
        <v>533545.56</v>
      </c>
      <c r="E44" s="73">
        <f>IFERROR(__xludf.DUMMYFUNCTION("""COMPUTED_VALUE"""),489266.75)</f>
        <v>489266.75</v>
      </c>
      <c r="F44" s="73">
        <f t="shared" si="1"/>
        <v>44278.81</v>
      </c>
      <c r="G44" s="75" t="str">
        <f>IFERROR(__xludf.DUMMYFUNCTION("""COMPUTED_VALUE"""),"Chop Cheong Bee Sdn Bhd")</f>
        <v>Chop Cheong Bee Sdn Bhd</v>
      </c>
      <c r="H44" s="75">
        <f>IFERROR(__xludf.DUMMYFUNCTION("""COMPUTED_VALUE"""),41800.0)</f>
        <v>41800</v>
      </c>
      <c r="I44" s="76">
        <f>IFERROR(__xludf.DUMMYFUNCTION("""COMPUTED_VALUE"""),2.13)</f>
        <v>2.13</v>
      </c>
      <c r="J44" s="75">
        <f>IFERROR(__xludf.DUMMYFUNCTION("""COMPUTED_VALUE"""),1421.0)</f>
        <v>1421</v>
      </c>
      <c r="K44" s="77">
        <f>IFERROR(__xludf.DUMMYFUNCTION("""COMPUTED_VALUE"""),0.0339)</f>
        <v>0.0339</v>
      </c>
      <c r="L44" s="77">
        <f>IFERROR(__xludf.DUMMYFUNCTION("""COMPUTED_VALUE"""),0.9660047846889952)</f>
        <v>0.9660047847</v>
      </c>
      <c r="M44" s="78">
        <f>IFERROR(__xludf.DUMMYFUNCTION("""COMPUTED_VALUE"""),35.0)</f>
        <v>35</v>
      </c>
      <c r="N44" s="75">
        <f>IFERROR(__xludf.DUMMYFUNCTION("""COMPUTED_VALUE"""),2809.094288)</f>
        <v>2809.094288</v>
      </c>
      <c r="O44" s="74">
        <f>IFERROR(__xludf.DUMMYFUNCTION("""COMPUTED_VALUE"""),1.54)</f>
        <v>1.54</v>
      </c>
      <c r="P44" s="75">
        <f>IFERROR(__xludf.DUMMYFUNCTION("""COMPUTED_VALUE"""),40379.0)</f>
        <v>40379</v>
      </c>
      <c r="Q44" s="73">
        <f>IFERROR(__xludf.DUMMYFUNCTION("""COMPUTED_VALUE"""),91204.36)</f>
        <v>91204.36</v>
      </c>
      <c r="R44" s="73">
        <f>IFERROR(__xludf.DUMMYFUNCTION("""COMPUTED_VALUE"""),2.26)</f>
        <v>2.26</v>
      </c>
      <c r="S44" s="73">
        <f>IFERROR(__xludf.DUMMYFUNCTION("""COMPUTED_VALUE"""),13.213441640456674)</f>
        <v>13.21344164</v>
      </c>
      <c r="T44" s="79">
        <f>IFERROR(__xludf.DUMMYFUNCTION("""COMPUTED_VALUE"""),12.11686148740682)</f>
        <v>12.11686149</v>
      </c>
      <c r="U44" s="79">
        <f>IFERROR(__xludf.DUMMYFUNCTION("""COMPUTED_VALUE"""),1.0965801530498531)</f>
        <v>1.096580153</v>
      </c>
      <c r="V44" s="79">
        <f>IFERROR(__xludf.DUMMYFUNCTION("""COMPUTED_VALUE"""),5.850000592076959)</f>
        <v>5.850000592</v>
      </c>
      <c r="W44" s="79">
        <f>IFERROR(__xludf.DUMMYFUNCTION("""COMPUTED_VALUE"""),5.364510534364804)</f>
        <v>5.364510534</v>
      </c>
      <c r="X44" s="79">
        <f>IFERROR(__xludf.DUMMYFUNCTION("""COMPUTED_VALUE"""),0.4854900577121546)</f>
        <v>0.4854900577</v>
      </c>
      <c r="Y44" s="79">
        <f>IFERROR(__xludf.DUMMYFUNCTION("""COMPUTED_VALUE"""),1.096580153049854)</f>
        <v>1.096580153</v>
      </c>
      <c r="Z44" s="80">
        <f>IFERROR(__xludf.DUMMYFUNCTION("""COMPUTED_VALUE"""),405.0409672350889)</f>
        <v>405.0409672</v>
      </c>
      <c r="AA44" s="84" t="str">
        <f>IFERROR(__xludf.DUMMYFUNCTION("""COMPUTED_VALUE"""),"VERY GOOD")</f>
        <v>VERY GOOD</v>
      </c>
    </row>
    <row r="45">
      <c r="A45" s="70">
        <v>2024.0</v>
      </c>
      <c r="B45" s="71" t="s">
        <v>17</v>
      </c>
      <c r="C45" s="72" t="s">
        <v>72</v>
      </c>
      <c r="D45" s="73">
        <f>IFERROR(__xludf.DUMMYFUNCTION("""COMPUTED_VALUE"""),535835.1)</f>
        <v>535835.1</v>
      </c>
      <c r="E45" s="73">
        <f>IFERROR(__xludf.DUMMYFUNCTION("""COMPUTED_VALUE"""),518985.45000000007)</f>
        <v>518985.45</v>
      </c>
      <c r="F45" s="73">
        <f t="shared" si="1"/>
        <v>16849.65</v>
      </c>
      <c r="G45" s="75" t="str">
        <f>IFERROR(__xludf.DUMMYFUNCTION("""COMPUTED_VALUE"""),"Chop Cheong Bee Sdn Bhd")</f>
        <v>Chop Cheong Bee Sdn Bhd</v>
      </c>
      <c r="H45" s="75">
        <f>IFERROR(__xludf.DUMMYFUNCTION("""COMPUTED_VALUE"""),43800.0)</f>
        <v>43800</v>
      </c>
      <c r="I45" s="76">
        <f>IFERROR(__xludf.DUMMYFUNCTION("""COMPUTED_VALUE"""),2.13)</f>
        <v>2.13</v>
      </c>
      <c r="J45" s="75">
        <f>IFERROR(__xludf.DUMMYFUNCTION("""COMPUTED_VALUE"""),1583.0)</f>
        <v>1583</v>
      </c>
      <c r="K45" s="77">
        <f>IFERROR(__xludf.DUMMYFUNCTION("""COMPUTED_VALUE"""),0.03614155251141553)</f>
        <v>0.03614155251</v>
      </c>
      <c r="L45" s="77">
        <f>IFERROR(__xludf.DUMMYFUNCTION("""COMPUTED_VALUE"""),0.9638584474885845)</f>
        <v>0.9638584475</v>
      </c>
      <c r="M45" s="78">
        <f>IFERROR(__xludf.DUMMYFUNCTION("""COMPUTED_VALUE"""),35.0)</f>
        <v>35</v>
      </c>
      <c r="N45" s="75">
        <f>IFERROR(__xludf.DUMMYFUNCTION("""COMPUTED_VALUE"""),2985.8313919999996)</f>
        <v>2985.831392</v>
      </c>
      <c r="O45" s="74">
        <f>IFERROR(__xludf.DUMMYFUNCTION("""COMPUTED_VALUE"""),1.63)</f>
        <v>1.63</v>
      </c>
      <c r="P45" s="75">
        <f>IFERROR(__xludf.DUMMYFUNCTION("""COMPUTED_VALUE"""),42217.0)</f>
        <v>42217</v>
      </c>
      <c r="Q45" s="73">
        <f>IFERROR(__xludf.DUMMYFUNCTION("""COMPUTED_VALUE"""),91589.92)</f>
        <v>91589.92</v>
      </c>
      <c r="R45" s="73">
        <f>IFERROR(__xludf.DUMMYFUNCTION("""COMPUTED_VALUE"""),2.17)</f>
        <v>2.17</v>
      </c>
      <c r="S45" s="73">
        <f>IFERROR(__xludf.DUMMYFUNCTION("""COMPUTED_VALUE"""),12.6924011654073)</f>
        <v>12.69240117</v>
      </c>
      <c r="T45" s="79">
        <f>IFERROR(__xludf.DUMMYFUNCTION("""COMPUTED_VALUE"""),12.293281142667647)</f>
        <v>12.29328114</v>
      </c>
      <c r="U45" s="79">
        <f>IFERROR(__xludf.DUMMYFUNCTION("""COMPUTED_VALUE"""),0.39912002273965363)</f>
        <v>0.3991200227</v>
      </c>
      <c r="V45" s="79">
        <f>IFERROR(__xludf.DUMMYFUNCTION("""COMPUTED_VALUE"""),5.850371962329479)</f>
        <v>5.850371962</v>
      </c>
      <c r="W45" s="79">
        <f>IFERROR(__xludf.DUMMYFUNCTION("""COMPUTED_VALUE"""),5.6664035736683696)</f>
        <v>5.666403574</v>
      </c>
      <c r="X45" s="79">
        <f>IFERROR(__xludf.DUMMYFUNCTION("""COMPUTED_VALUE"""),0.18396838866110965)</f>
        <v>0.1839683887</v>
      </c>
      <c r="Y45" s="79">
        <f>IFERROR(__xludf.DUMMYFUNCTION("""COMPUTED_VALUE"""),0.3991200227396524)</f>
        <v>0.3991200227</v>
      </c>
      <c r="Z45" s="80">
        <f>IFERROR(__xludf.DUMMYFUNCTION("""COMPUTED_VALUE"""),366.62100456621005)</f>
        <v>366.6210046</v>
      </c>
      <c r="AA45" s="84" t="str">
        <f>IFERROR(__xludf.DUMMYFUNCTION("""COMPUTED_VALUE"""),"VERY BAD")</f>
        <v>VERY BAD</v>
      </c>
    </row>
    <row r="46">
      <c r="A46" s="70">
        <v>2024.0</v>
      </c>
      <c r="B46" s="71" t="s">
        <v>17</v>
      </c>
      <c r="C46" s="72" t="s">
        <v>73</v>
      </c>
      <c r="D46" s="73">
        <f>IFERROR(__xludf.DUMMYFUNCTION("""COMPUTED_VALUE"""),524390.7)</f>
        <v>524390.7</v>
      </c>
      <c r="E46" s="73">
        <f>IFERROR(__xludf.DUMMYFUNCTION("""COMPUTED_VALUE"""),488908.75)</f>
        <v>488908.75</v>
      </c>
      <c r="F46" s="73">
        <f t="shared" si="1"/>
        <v>35481.95</v>
      </c>
      <c r="G46" s="75" t="str">
        <f>IFERROR(__xludf.DUMMYFUNCTION("""COMPUTED_VALUE"""),"Chop Cheong Bee Sdn Bhd")</f>
        <v>Chop Cheong Bee Sdn Bhd</v>
      </c>
      <c r="H46" s="75">
        <f>IFERROR(__xludf.DUMMYFUNCTION("""COMPUTED_VALUE"""),43800.0)</f>
        <v>43800</v>
      </c>
      <c r="I46" s="76">
        <f>IFERROR(__xludf.DUMMYFUNCTION("""COMPUTED_VALUE"""),2.13)</f>
        <v>2.13</v>
      </c>
      <c r="J46" s="75">
        <f>IFERROR(__xludf.DUMMYFUNCTION("""COMPUTED_VALUE"""),2358.0)</f>
        <v>2358</v>
      </c>
      <c r="K46" s="77">
        <f>IFERROR(__xludf.DUMMYFUNCTION("""COMPUTED_VALUE"""),0.054)</f>
        <v>0.054</v>
      </c>
      <c r="L46" s="77">
        <f>IFERROR(__xludf.DUMMYFUNCTION("""COMPUTED_VALUE"""),0.9461643835616438)</f>
        <v>0.9461643836</v>
      </c>
      <c r="M46" s="78">
        <f>IFERROR(__xludf.DUMMYFUNCTION("""COMPUTED_VALUE"""),35.0)</f>
        <v>35</v>
      </c>
      <c r="N46" s="75">
        <f>IFERROR(__xludf.DUMMYFUNCTION("""COMPUTED_VALUE"""),2815.6470400000003)</f>
        <v>2815.64704</v>
      </c>
      <c r="O46" s="74">
        <f>IFERROR(__xludf.DUMMYFUNCTION("""COMPUTED_VALUE"""),1.49)</f>
        <v>1.49</v>
      </c>
      <c r="P46" s="75">
        <f>IFERROR(__xludf.DUMMYFUNCTION("""COMPUTED_VALUE"""),41442.0)</f>
        <v>41442</v>
      </c>
      <c r="Q46" s="73">
        <f>IFERROR(__xludf.DUMMYFUNCTION("""COMPUTED_VALUE"""),94484.8)</f>
        <v>94484.8</v>
      </c>
      <c r="R46" s="73">
        <f>IFERROR(__xludf.DUMMYFUNCTION("""COMPUTED_VALUE"""),2.28)</f>
        <v>2.28</v>
      </c>
      <c r="S46" s="73">
        <f>IFERROR(__xludf.DUMMYFUNCTION("""COMPUTED_VALUE"""),12.653605038366873)</f>
        <v>12.65360504</v>
      </c>
      <c r="T46" s="79">
        <f>IFERROR(__xludf.DUMMYFUNCTION("""COMPUTED_VALUE"""),11.797421697794508)</f>
        <v>11.7974217</v>
      </c>
      <c r="U46" s="79">
        <f>IFERROR(__xludf.DUMMYFUNCTION("""COMPUTED_VALUE"""),0.8561833405723647)</f>
        <v>0.8561833406</v>
      </c>
      <c r="V46" s="79">
        <f>IFERROR(__xludf.DUMMYFUNCTION("""COMPUTED_VALUE"""),5.5500006350227755)</f>
        <v>5.550000635</v>
      </c>
      <c r="W46" s="79">
        <f>IFERROR(__xludf.DUMMYFUNCTION("""COMPUTED_VALUE"""),5.174469861819044)</f>
        <v>5.174469862</v>
      </c>
      <c r="X46" s="79">
        <f>IFERROR(__xludf.DUMMYFUNCTION("""COMPUTED_VALUE"""),0.3755307732037316)</f>
        <v>0.3755307732</v>
      </c>
      <c r="Y46" s="79">
        <f>IFERROR(__xludf.DUMMYFUNCTION("""COMPUTED_VALUE"""),0.8561833405723651)</f>
        <v>0.8561833406</v>
      </c>
      <c r="Z46" s="80">
        <f>IFERROR(__xludf.DUMMYFUNCTION("""COMPUTED_VALUE"""),413.6634313558097)</f>
        <v>413.6634314</v>
      </c>
      <c r="AA46" s="84" t="str">
        <f>IFERROR(__xludf.DUMMYFUNCTION("""COMPUTED_VALUE"""),"JUST AVERAGE")</f>
        <v>JUST AVERAGE</v>
      </c>
    </row>
    <row r="47">
      <c r="A47" s="70">
        <v>2024.0</v>
      </c>
      <c r="B47" s="71" t="s">
        <v>17</v>
      </c>
      <c r="C47" s="72" t="s">
        <v>74</v>
      </c>
      <c r="D47" s="73">
        <f>IFERROR(__xludf.DUMMYFUNCTION("""COMPUTED_VALUE"""),530679.3)</f>
        <v>530679.3</v>
      </c>
      <c r="E47" s="73">
        <f>IFERROR(__xludf.DUMMYFUNCTION("""COMPUTED_VALUE"""),503479.15)</f>
        <v>503479.15</v>
      </c>
      <c r="F47" s="73">
        <f t="shared" si="1"/>
        <v>27200.15</v>
      </c>
      <c r="G47" s="75" t="str">
        <f>IFERROR(__xludf.DUMMYFUNCTION("""COMPUTED_VALUE"""),"Chop Cheong Bee Sdn Bhd")</f>
        <v>Chop Cheong Bee Sdn Bhd</v>
      </c>
      <c r="H47" s="75">
        <f>IFERROR(__xludf.DUMMYFUNCTION("""COMPUTED_VALUE"""),43800.0)</f>
        <v>43800</v>
      </c>
      <c r="I47" s="76">
        <f>IFERROR(__xludf.DUMMYFUNCTION("""COMPUTED_VALUE"""),2.12)</f>
        <v>2.12</v>
      </c>
      <c r="J47" s="75">
        <f>IFERROR(__xludf.DUMMYFUNCTION("""COMPUTED_VALUE"""),2121.0)</f>
        <v>2121</v>
      </c>
      <c r="K47" s="77">
        <f>IFERROR(__xludf.DUMMYFUNCTION("""COMPUTED_VALUE"""),0.048)</f>
        <v>0.048</v>
      </c>
      <c r="L47" s="77">
        <f>IFERROR(__xludf.DUMMYFUNCTION("""COMPUTED_VALUE"""),0.9515753424657534)</f>
        <v>0.9515753425</v>
      </c>
      <c r="M47" s="78">
        <f>IFERROR(__xludf.DUMMYFUNCTION("""COMPUTED_VALUE"""),35.0)</f>
        <v>35</v>
      </c>
      <c r="N47" s="75">
        <f>IFERROR(__xludf.DUMMYFUNCTION("""COMPUTED_VALUE"""),3059.76256)</f>
        <v>3059.76256</v>
      </c>
      <c r="O47" s="76">
        <f>IFERROR(__xludf.DUMMYFUNCTION("""COMPUTED_VALUE"""),1.6)</f>
        <v>1.6</v>
      </c>
      <c r="P47" s="75">
        <f>IFERROR(__xludf.DUMMYFUNCTION("""COMPUTED_VALUE"""),41679.0)</f>
        <v>41679</v>
      </c>
      <c r="Q47" s="73">
        <f>IFERROR(__xludf.DUMMYFUNCTION("""COMPUTED_VALUE"""),95617.58)</f>
        <v>95617.58</v>
      </c>
      <c r="R47" s="73">
        <f>IFERROR(__xludf.DUMMYFUNCTION("""COMPUTED_VALUE"""),2.29)</f>
        <v>2.29</v>
      </c>
      <c r="S47" s="73">
        <f>IFERROR(__xludf.DUMMYFUNCTION("""COMPUTED_VALUE"""),12.732534369826533)</f>
        <v>12.73253437</v>
      </c>
      <c r="T47" s="79">
        <f>IFERROR(__xludf.DUMMYFUNCTION("""COMPUTED_VALUE"""),12.079923942513016)</f>
        <v>12.07992394</v>
      </c>
      <c r="U47" s="79">
        <f>IFERROR(__xludf.DUMMYFUNCTION("""COMPUTED_VALUE"""),0.6526104273135171)</f>
        <v>0.6526104273</v>
      </c>
      <c r="V47" s="79">
        <f>IFERROR(__xludf.DUMMYFUNCTION("""COMPUTED_VALUE"""),5.550018103365511)</f>
        <v>5.550018103</v>
      </c>
      <c r="W47" s="79">
        <f>IFERROR(__xludf.DUMMYFUNCTION("""COMPUTED_VALUE"""),5.2655500170575325)</f>
        <v>5.265550017</v>
      </c>
      <c r="X47" s="79">
        <f>IFERROR(__xludf.DUMMYFUNCTION("""COMPUTED_VALUE"""),0.28446808630797893)</f>
        <v>0.2844680863</v>
      </c>
      <c r="Y47" s="79">
        <f>IFERROR(__xludf.DUMMYFUNCTION("""COMPUTED_VALUE"""),0.6526104273135157)</f>
        <v>0.6526104273</v>
      </c>
      <c r="Z47" s="80">
        <f>IFERROR(__xludf.DUMMYFUNCTION("""COMPUTED_VALUE"""),389.12634540117415)</f>
        <v>389.1263454</v>
      </c>
      <c r="AA47" s="84" t="str">
        <f>IFERROR(__xludf.DUMMYFUNCTION("""COMPUTED_VALUE"""),"JUST AVERAGE")</f>
        <v>JUST AVERAGE</v>
      </c>
    </row>
    <row r="48">
      <c r="A48" s="70">
        <v>2024.0</v>
      </c>
      <c r="B48" s="71" t="s">
        <v>21</v>
      </c>
      <c r="C48" s="72" t="s">
        <v>69</v>
      </c>
      <c r="D48" s="73">
        <f>IFERROR(__xludf.DUMMYFUNCTION("TRANSPOSE(IMPORTRANGE(""1Y1LY7dyNGLp0NieLSn-6awoDagvXjF5SwgLKBcwcayI"", ""2024!C12:H12""))"),194627.76)</f>
        <v>194627.76</v>
      </c>
      <c r="E48" s="73">
        <f>IFERROR(__xludf.DUMMYFUNCTION("TRANSPOSE(IMPORTRANGE(""1Y1LY7dyNGLp0NieLSn-6awoDagvXjF5SwgLKBcwcayI"", ""2024!C43:H43""))"),173717.95)</f>
        <v>173717.95</v>
      </c>
      <c r="F48" s="73">
        <f t="shared" si="1"/>
        <v>20909.81</v>
      </c>
      <c r="G48" s="74" t="str">
        <f>IFERROR(__xludf.DUMMYFUNCTION("TRANSPOSE(IMPORTRANGE(""1Y1LY7dyNGLp0NieLSn-6awoDagvXjF5SwgLKBcwcayI"", ""2024!C51:H71""))"),"Chop Cheong Bee Sdn Bhd")</f>
        <v>Chop Cheong Bee Sdn Bhd</v>
      </c>
      <c r="H48" s="75">
        <f>IFERROR(__xludf.DUMMYFUNCTION("""COMPUTED_VALUE"""),15000.0)</f>
        <v>15000</v>
      </c>
      <c r="I48" s="76">
        <f>IFERROR(__xludf.DUMMYFUNCTION("""COMPUTED_VALUE"""),2.03)</f>
        <v>2.03</v>
      </c>
      <c r="J48" s="75">
        <f>IFERROR(__xludf.DUMMYFUNCTION("""COMPUTED_VALUE"""),579.0)</f>
        <v>579</v>
      </c>
      <c r="K48" s="77">
        <f>IFERROR(__xludf.DUMMYFUNCTION("""COMPUTED_VALUE"""),0.0386)</f>
        <v>0.0386</v>
      </c>
      <c r="L48" s="77">
        <f>IFERROR(__xludf.DUMMYFUNCTION("""COMPUTED_VALUE"""),0.9614)</f>
        <v>0.9614</v>
      </c>
      <c r="M48" s="78">
        <f>IFERROR(__xludf.DUMMYFUNCTION("""COMPUTED_VALUE"""),35.0)</f>
        <v>35</v>
      </c>
      <c r="N48" s="78">
        <f>IFERROR(__xludf.DUMMYFUNCTION("""COMPUTED_VALUE"""),922.9134200000001)</f>
        <v>922.91342</v>
      </c>
      <c r="O48" s="74">
        <f>IFERROR(__xludf.DUMMYFUNCTION("""COMPUTED_VALUE"""),1.43)</f>
        <v>1.43</v>
      </c>
      <c r="P48" s="75">
        <f>IFERROR(__xludf.DUMMYFUNCTION("""COMPUTED_VALUE"""),14421.0)</f>
        <v>14421</v>
      </c>
      <c r="Q48" s="73">
        <f>IFERROR(__xludf.DUMMYFUNCTION("""COMPUTED_VALUE"""),32269.7)</f>
        <v>32269.7</v>
      </c>
      <c r="R48" s="73">
        <f>IFERROR(__xludf.DUMMYFUNCTION("""COMPUTED_VALUE"""),2.237688093752167)</f>
        <v>2.237688094</v>
      </c>
      <c r="S48" s="73">
        <f>IFERROR(__xludf.DUMMYFUNCTION("""COMPUTED_VALUE"""),13.496134803411692)</f>
        <v>13.4961348</v>
      </c>
      <c r="T48" s="85">
        <f>IFERROR(__xludf.DUMMYFUNCTION("""COMPUTED_VALUE"""),12.046179183135706)</f>
        <v>12.04617918</v>
      </c>
      <c r="U48" s="85">
        <f>IFERROR(__xludf.DUMMYFUNCTION("""COMPUTED_VALUE"""),1.4499556202759862)</f>
        <v>1.44995562</v>
      </c>
      <c r="V48" s="85">
        <f>IFERROR(__xludf.DUMMYFUNCTION("""COMPUTED_VALUE"""),6.031285075473277)</f>
        <v>6.031285075</v>
      </c>
      <c r="W48" s="86">
        <f>IFERROR(__xludf.DUMMYFUNCTION("""COMPUTED_VALUE"""),5.383314688391898)</f>
        <v>5.383314688</v>
      </c>
      <c r="X48" s="86">
        <f>IFERROR(__xludf.DUMMYFUNCTION("""COMPUTED_VALUE"""),0.6479703870813793)</f>
        <v>0.6479703871</v>
      </c>
      <c r="Y48" s="81">
        <f>IFERROR(__xludf.DUMMYFUNCTION("""COMPUTED_VALUE"""),1.4499556202759862)</f>
        <v>1.44995562</v>
      </c>
      <c r="Z48" s="80">
        <f>IFERROR(__xludf.DUMMYFUNCTION("""COMPUTED_VALUE"""),376.1037296037296)</f>
        <v>376.1037296</v>
      </c>
      <c r="AA48" s="81" t="str">
        <f>IFERROR(__xludf.DUMMYFUNCTION("""COMPUTED_VALUE"""),"VERY GOOD")</f>
        <v>VERY GOOD</v>
      </c>
    </row>
    <row r="49">
      <c r="A49" s="70">
        <v>2024.0</v>
      </c>
      <c r="B49" s="71" t="s">
        <v>21</v>
      </c>
      <c r="C49" s="72" t="s">
        <v>70</v>
      </c>
      <c r="D49" s="79">
        <f>IFERROR(__xludf.DUMMYFUNCTION("""COMPUTED_VALUE"""),193108.52)</f>
        <v>193108.52</v>
      </c>
      <c r="E49" s="79">
        <f>IFERROR(__xludf.DUMMYFUNCTION("""COMPUTED_VALUE"""),188983.5)</f>
        <v>188983.5</v>
      </c>
      <c r="F49" s="73">
        <f t="shared" si="1"/>
        <v>4125.02</v>
      </c>
      <c r="G49" s="84" t="str">
        <f>IFERROR(__xludf.DUMMYFUNCTION("""COMPUTED_VALUE"""),"Chop Cheong Bee Sdn Bhd")</f>
        <v>Chop Cheong Bee Sdn Bhd</v>
      </c>
      <c r="H49" s="75">
        <f>IFERROR(__xludf.DUMMYFUNCTION("""COMPUTED_VALUE"""),15000.0)</f>
        <v>15000</v>
      </c>
      <c r="I49" s="76">
        <f>IFERROR(__xludf.DUMMYFUNCTION("""COMPUTED_VALUE"""),2.13)</f>
        <v>2.13</v>
      </c>
      <c r="J49" s="75">
        <f>IFERROR(__xludf.DUMMYFUNCTION("""COMPUTED_VALUE"""),256.0)</f>
        <v>256</v>
      </c>
      <c r="K49" s="77">
        <f>IFERROR(__xludf.DUMMYFUNCTION("""COMPUTED_VALUE"""),0.017066666666666667)</f>
        <v>0.01706666667</v>
      </c>
      <c r="L49" s="77">
        <f>IFERROR(__xludf.DUMMYFUNCTION("""COMPUTED_VALUE"""),0.9829333333333333)</f>
        <v>0.9829333333</v>
      </c>
      <c r="M49" s="78">
        <f>IFERROR(__xludf.DUMMYFUNCTION("""COMPUTED_VALUE"""),35.0)</f>
        <v>35</v>
      </c>
      <c r="N49" s="78">
        <f>IFERROR(__xludf.DUMMYFUNCTION("""COMPUTED_VALUE"""),897.8720000000001)</f>
        <v>897.872</v>
      </c>
      <c r="O49" s="74">
        <f>IFERROR(__xludf.DUMMYFUNCTION("""COMPUTED_VALUE"""),1.36)</f>
        <v>1.36</v>
      </c>
      <c r="P49" s="80">
        <f>IFERROR(__xludf.DUMMYFUNCTION("""COMPUTED_VALUE"""),14744.0)</f>
        <v>14744</v>
      </c>
      <c r="Q49" s="79">
        <f>IFERROR(__xludf.DUMMYFUNCTION("""COMPUTED_VALUE"""),33010.0)</f>
        <v>33010</v>
      </c>
      <c r="R49" s="79">
        <f>IFERROR(__xludf.DUMMYFUNCTION("""COMPUTED_VALUE"""),2.2388768312533913)</f>
        <v>2.238876831</v>
      </c>
      <c r="S49" s="73">
        <f>IFERROR(__xludf.DUMMYFUNCTION("""COMPUTED_VALUE"""),13.097430819316331)</f>
        <v>13.09743082</v>
      </c>
      <c r="T49" s="86">
        <f>IFERROR(__xludf.DUMMYFUNCTION("""COMPUTED_VALUE"""),12.817654639175258)</f>
        <v>12.81765464</v>
      </c>
      <c r="U49" s="86">
        <f>IFERROR(__xludf.DUMMYFUNCTION("""COMPUTED_VALUE"""),0.27977618014107364)</f>
        <v>0.2797761801</v>
      </c>
      <c r="V49" s="86">
        <f>IFERROR(__xludf.DUMMYFUNCTION("""COMPUTED_VALUE"""),5.850000605877007)</f>
        <v>5.850000606</v>
      </c>
      <c r="W49" s="86">
        <f>IFERROR(__xludf.DUMMYFUNCTION("""COMPUTED_VALUE"""),5.725037867312936)</f>
        <v>5.725037867</v>
      </c>
      <c r="X49" s="86">
        <f>IFERROR(__xludf.DUMMYFUNCTION("""COMPUTED_VALUE"""),0.12496273856407125)</f>
        <v>0.1249627386</v>
      </c>
      <c r="Y49" s="81">
        <f>IFERROR(__xludf.DUMMYFUNCTION("""COMPUTED_VALUE"""),0.27977618014107364)</f>
        <v>0.2797761801</v>
      </c>
      <c r="Z49" s="80">
        <f>IFERROR(__xludf.DUMMYFUNCTION("""COMPUTED_VALUE"""),404.53431372549016)</f>
        <v>404.5343137</v>
      </c>
      <c r="AA49" s="81" t="str">
        <f>IFERROR(__xludf.DUMMYFUNCTION("""COMPUTED_VALUE"""),"VERY BAD")</f>
        <v>VERY BAD</v>
      </c>
    </row>
    <row r="50" ht="16.5" customHeight="1">
      <c r="A50" s="70">
        <v>2024.0</v>
      </c>
      <c r="B50" s="71" t="s">
        <v>21</v>
      </c>
      <c r="C50" s="72" t="s">
        <v>71</v>
      </c>
      <c r="D50" s="73">
        <f>IFERROR(__xludf.DUMMYFUNCTION("""COMPUTED_VALUE"""),194315.38)</f>
        <v>194315.38</v>
      </c>
      <c r="E50" s="73">
        <f>IFERROR(__xludf.DUMMYFUNCTION("""COMPUTED_VALUE"""),170057.2)</f>
        <v>170057.2</v>
      </c>
      <c r="F50" s="73">
        <f t="shared" si="1"/>
        <v>24258.18</v>
      </c>
      <c r="G50" s="74" t="str">
        <f>IFERROR(__xludf.DUMMYFUNCTION("""COMPUTED_VALUE"""),"Chop Cheong Bee Sdn Bhd")</f>
        <v>Chop Cheong Bee Sdn Bhd</v>
      </c>
      <c r="H50" s="75">
        <f>IFERROR(__xludf.DUMMYFUNCTION("""COMPUTED_VALUE"""),15000.0)</f>
        <v>15000</v>
      </c>
      <c r="I50" s="76">
        <f>IFERROR(__xludf.DUMMYFUNCTION("""COMPUTED_VALUE"""),2.13)</f>
        <v>2.13</v>
      </c>
      <c r="J50" s="75">
        <f>IFERROR(__xludf.DUMMYFUNCTION("""COMPUTED_VALUE"""),290.0)</f>
        <v>290</v>
      </c>
      <c r="K50" s="77">
        <f>IFERROR(__xludf.DUMMYFUNCTION("""COMPUTED_VALUE"""),0.019333333333333334)</f>
        <v>0.01933333333</v>
      </c>
      <c r="L50" s="77">
        <f>IFERROR(__xludf.DUMMYFUNCTION("""COMPUTED_VALUE"""),0.9806666666666667)</f>
        <v>0.9806666667</v>
      </c>
      <c r="M50" s="78">
        <f>IFERROR(__xludf.DUMMYFUNCTION("""COMPUTED_VALUE"""),35.0)</f>
        <v>35</v>
      </c>
      <c r="N50" s="78">
        <f>IFERROR(__xludf.DUMMYFUNCTION("""COMPUTED_VALUE"""),903.4833600000001)</f>
        <v>903.48336</v>
      </c>
      <c r="O50" s="74">
        <f>IFERROR(__xludf.DUMMYFUNCTION("""COMPUTED_VALUE"""),1.36)</f>
        <v>1.36</v>
      </c>
      <c r="P50" s="75">
        <f>IFERROR(__xludf.DUMMYFUNCTION("""COMPUTED_VALUE"""),14710.0)</f>
        <v>14710</v>
      </c>
      <c r="Q50" s="73">
        <f>IFERROR(__xludf.DUMMYFUNCTION("""COMPUTED_VALUE"""),33216.3)</f>
        <v>33216.3</v>
      </c>
      <c r="R50" s="73">
        <f>IFERROR(__xludf.DUMMYFUNCTION("""COMPUTED_VALUE"""),2.2580761386811696)</f>
        <v>2.258076139</v>
      </c>
      <c r="S50" s="73">
        <f>IFERROR(__xludf.DUMMYFUNCTION("""COMPUTED_VALUE"""),13.209747110808975)</f>
        <v>13.20974711</v>
      </c>
      <c r="T50" s="85">
        <f>IFERROR(__xludf.DUMMYFUNCTION("""COMPUTED_VALUE"""),11.560652617267166)</f>
        <v>11.56065262</v>
      </c>
      <c r="U50" s="85">
        <f>IFERROR(__xludf.DUMMYFUNCTION("""COMPUTED_VALUE"""),1.649094493541808)</f>
        <v>1.649094494</v>
      </c>
      <c r="V50" s="85">
        <f>IFERROR(__xludf.DUMMYFUNCTION("""COMPUTED_VALUE"""),5.8500007526425275)</f>
        <v>5.850000753</v>
      </c>
      <c r="W50" s="86">
        <f>IFERROR(__xludf.DUMMYFUNCTION("""COMPUTED_VALUE"""),5.119691235929348)</f>
        <v>5.119691236</v>
      </c>
      <c r="X50" s="86">
        <f>IFERROR(__xludf.DUMMYFUNCTION("""COMPUTED_VALUE"""),0.7303095167131799)</f>
        <v>0.7303095167</v>
      </c>
      <c r="Y50" s="81">
        <f>IFERROR(__xludf.DUMMYFUNCTION("""COMPUTED_VALUE"""),1.649094493541808)</f>
        <v>1.649094494</v>
      </c>
      <c r="Z50" s="80">
        <f>IFERROR(__xludf.DUMMYFUNCTION("""COMPUTED_VALUE"""),407.06250000000006)</f>
        <v>407.0625</v>
      </c>
      <c r="AA50" s="81" t="str">
        <f>IFERROR(__xludf.DUMMYFUNCTION("""COMPUTED_VALUE"""),"VERY GOOD")</f>
        <v>VERY GOOD</v>
      </c>
    </row>
    <row r="51">
      <c r="A51" s="70">
        <v>2024.0</v>
      </c>
      <c r="B51" s="71" t="s">
        <v>21</v>
      </c>
      <c r="C51" s="72" t="s">
        <v>72</v>
      </c>
      <c r="D51" s="73">
        <f>IFERROR(__xludf.DUMMYFUNCTION("""COMPUTED_VALUE"""),175027.34)</f>
        <v>175027.34</v>
      </c>
      <c r="E51" s="73">
        <f>IFERROR(__xludf.DUMMYFUNCTION("""COMPUTED_VALUE"""),174753.54)</f>
        <v>174753.54</v>
      </c>
      <c r="F51" s="73">
        <f t="shared" si="1"/>
        <v>273.8</v>
      </c>
      <c r="G51" s="74" t="str">
        <f>IFERROR(__xludf.DUMMYFUNCTION("""COMPUTED_VALUE"""),"Chop Cheong Bee Sdn Bhd")</f>
        <v>Chop Cheong Bee Sdn Bhd</v>
      </c>
      <c r="H51" s="75">
        <f>IFERROR(__xludf.DUMMYFUNCTION("""COMPUTED_VALUE"""),15000.0)</f>
        <v>15000</v>
      </c>
      <c r="I51" s="76">
        <f>IFERROR(__xludf.DUMMYFUNCTION("""COMPUTED_VALUE"""),2.13)</f>
        <v>2.13</v>
      </c>
      <c r="J51" s="75">
        <f>IFERROR(__xludf.DUMMYFUNCTION("""COMPUTED_VALUE"""),420.0)</f>
        <v>420</v>
      </c>
      <c r="K51" s="77">
        <f>IFERROR(__xludf.DUMMYFUNCTION("""COMPUTED_VALUE"""),0.028)</f>
        <v>0.028</v>
      </c>
      <c r="L51" s="77">
        <f>IFERROR(__xludf.DUMMYFUNCTION("""COMPUTED_VALUE"""),0.972)</f>
        <v>0.972</v>
      </c>
      <c r="M51" s="78">
        <f>IFERROR(__xludf.DUMMYFUNCTION("""COMPUTED_VALUE"""),35.0)</f>
        <v>35</v>
      </c>
      <c r="N51" s="78">
        <f>IFERROR(__xludf.DUMMYFUNCTION("""COMPUTED_VALUE"""),909.54368)</f>
        <v>909.54368</v>
      </c>
      <c r="O51" s="74">
        <f>IFERROR(__xludf.DUMMYFUNCTION("""COMPUTED_VALUE"""),1.52)</f>
        <v>1.52</v>
      </c>
      <c r="P51" s="75">
        <f>IFERROR(__xludf.DUMMYFUNCTION("""COMPUTED_VALUE"""),14594.0)</f>
        <v>14594</v>
      </c>
      <c r="Q51" s="73">
        <f>IFERROR(__xludf.DUMMYFUNCTION("""COMPUTED_VALUE"""),29919.2)</f>
        <v>29919.2</v>
      </c>
      <c r="R51" s="73">
        <f>IFERROR(__xludf.DUMMYFUNCTION("""COMPUTED_VALUE"""),2.05)</f>
        <v>2.05</v>
      </c>
      <c r="S51" s="73">
        <f>IFERROR(__xludf.DUMMYFUNCTION("""COMPUTED_VALUE"""),11.99310264492257)</f>
        <v>11.99310264</v>
      </c>
      <c r="T51" s="85">
        <f>IFERROR(__xludf.DUMMYFUNCTION("""COMPUTED_VALUE"""),11.974341510209676)</f>
        <v>11.97434151</v>
      </c>
      <c r="U51" s="85">
        <f>IFERROR(__xludf.DUMMYFUNCTION("""COMPUTED_VALUE"""),0.018761134712894912)</f>
        <v>0.01876113471</v>
      </c>
      <c r="V51" s="85">
        <f>IFERROR(__xludf.DUMMYFUNCTION("""COMPUTED_VALUE"""),5.850000668467071)</f>
        <v>5.850000668</v>
      </c>
      <c r="W51" s="86">
        <f>IFERROR(__xludf.DUMMYFUNCTION("""COMPUTED_VALUE"""),5.8408493542608095)</f>
        <v>5.840849354</v>
      </c>
      <c r="X51" s="86">
        <f>IFERROR(__xludf.DUMMYFUNCTION("""COMPUTED_VALUE"""),0.00915131420626114)</f>
        <v>0.009151314206</v>
      </c>
      <c r="Y51" s="81">
        <f>IFERROR(__xludf.DUMMYFUNCTION("""COMPUTED_VALUE"""),0.018761134712894912)</f>
        <v>0.01876113471</v>
      </c>
      <c r="Z51" s="80">
        <f>IFERROR(__xludf.DUMMYFUNCTION("""COMPUTED_VALUE"""),328.04495614035085)</f>
        <v>328.0449561</v>
      </c>
      <c r="AA51" s="81" t="str">
        <f>IFERROR(__xludf.DUMMYFUNCTION("""COMPUTED_VALUE"""),"VERY BAD")</f>
        <v>VERY BAD</v>
      </c>
    </row>
    <row r="52">
      <c r="A52" s="70">
        <v>2024.0</v>
      </c>
      <c r="B52" s="71" t="s">
        <v>21</v>
      </c>
      <c r="C52" s="72" t="s">
        <v>73</v>
      </c>
      <c r="D52" s="73">
        <f>IFERROR(__xludf.DUMMYFUNCTION("""COMPUTED_VALUE"""),182860.32)</f>
        <v>182860.32</v>
      </c>
      <c r="E52" s="73">
        <f>IFERROR(__xludf.DUMMYFUNCTION("""COMPUTED_VALUE"""),172512.69)</f>
        <v>172512.69</v>
      </c>
      <c r="F52" s="73">
        <f t="shared" si="1"/>
        <v>10347.63</v>
      </c>
      <c r="G52" s="74" t="str">
        <f>IFERROR(__xludf.DUMMYFUNCTION("""COMPUTED_VALUE"""),"Chop Cheong Bee Sdn Bhd")</f>
        <v>Chop Cheong Bee Sdn Bhd</v>
      </c>
      <c r="H52" s="75">
        <f>IFERROR(__xludf.DUMMYFUNCTION("""COMPUTED_VALUE"""),15000.0)</f>
        <v>15000</v>
      </c>
      <c r="I52" s="76">
        <f>IFERROR(__xludf.DUMMYFUNCTION("""COMPUTED_VALUE"""),2.13)</f>
        <v>2.13</v>
      </c>
      <c r="J52" s="75">
        <f>IFERROR(__xludf.DUMMYFUNCTION("""COMPUTED_VALUE"""),846.0)</f>
        <v>846</v>
      </c>
      <c r="K52" s="77">
        <f>IFERROR(__xludf.DUMMYFUNCTION("""COMPUTED_VALUE"""),0.0564)</f>
        <v>0.0564</v>
      </c>
      <c r="L52" s="77">
        <f>IFERROR(__xludf.DUMMYFUNCTION("""COMPUTED_VALUE"""),0.9436)</f>
        <v>0.9436</v>
      </c>
      <c r="M52" s="78">
        <f>IFERROR(__xludf.DUMMYFUNCTION("""COMPUTED_VALUE"""),35.0)</f>
        <v>35</v>
      </c>
      <c r="N52" s="78">
        <f>IFERROR(__xludf.DUMMYFUNCTION("""COMPUTED_VALUE"""),981.8444400000001)</f>
        <v>981.84444</v>
      </c>
      <c r="O52" s="74">
        <f>IFERROR(__xludf.DUMMYFUNCTION("""COMPUTED_VALUE"""),1.49)</f>
        <v>1.49</v>
      </c>
      <c r="P52" s="75">
        <f>IFERROR(__xludf.DUMMYFUNCTION("""COMPUTED_VALUE"""),14154.0)</f>
        <v>14154</v>
      </c>
      <c r="Q52" s="73">
        <f>IFERROR(__xludf.DUMMYFUNCTION("""COMPUTED_VALUE"""),32947.8)</f>
        <v>32947.8</v>
      </c>
      <c r="R52" s="73">
        <f>IFERROR(__xludf.DUMMYFUNCTION("""COMPUTED_VALUE"""),2.33)</f>
        <v>2.33</v>
      </c>
      <c r="S52" s="73">
        <f>IFERROR(__xludf.DUMMYFUNCTION("""COMPUTED_VALUE"""),12.919338702840188)</f>
        <v>12.9193387</v>
      </c>
      <c r="T52" s="85">
        <f>IFERROR(__xludf.DUMMYFUNCTION("""COMPUTED_VALUE"""),12.188264094955489)</f>
        <v>12.18826409</v>
      </c>
      <c r="U52" s="85">
        <f>IFERROR(__xludf.DUMMYFUNCTION("""COMPUTED_VALUE"""),0.7310746078846972)</f>
        <v>0.7310746079</v>
      </c>
      <c r="V52" s="85">
        <f>IFERROR(__xludf.DUMMYFUNCTION("""COMPUTED_VALUE"""),5.550000910531204)</f>
        <v>5.550000911</v>
      </c>
      <c r="W52" s="86">
        <f>IFERROR(__xludf.DUMMYFUNCTION("""COMPUTED_VALUE"""),5.235939577149309)</f>
        <v>5.235939577</v>
      </c>
      <c r="X52" s="86">
        <f>IFERROR(__xludf.DUMMYFUNCTION("""COMPUTED_VALUE"""),0.3140613333818951)</f>
        <v>0.3140613334</v>
      </c>
      <c r="Y52" s="81">
        <f>IFERROR(__xludf.DUMMYFUNCTION("""COMPUTED_VALUE"""),0.7310746078846972)</f>
        <v>0.7310746079</v>
      </c>
      <c r="Z52" s="80">
        <f>IFERROR(__xludf.DUMMYFUNCTION("""COMPUTED_VALUE"""),368.8906040268456)</f>
        <v>368.890604</v>
      </c>
      <c r="AA52" s="81" t="str">
        <f>IFERROR(__xludf.DUMMYFUNCTION("""COMPUTED_VALUE"""),"JUST AVERAGE")</f>
        <v>JUST AVERAGE</v>
      </c>
    </row>
    <row r="53">
      <c r="A53" s="70">
        <v>2024.0</v>
      </c>
      <c r="B53" s="71" t="s">
        <v>21</v>
      </c>
      <c r="C53" s="72" t="s">
        <v>74</v>
      </c>
      <c r="D53" s="79">
        <f>IFERROR(__xludf.DUMMYFUNCTION("""COMPUTED_VALUE"""),174811.14)</f>
        <v>174811.14</v>
      </c>
      <c r="E53" s="79">
        <f>IFERROR(__xludf.DUMMYFUNCTION("""COMPUTED_VALUE"""),177734.33000000002)</f>
        <v>177734.33</v>
      </c>
      <c r="F53" s="73">
        <f t="shared" si="1"/>
        <v>-2923.19</v>
      </c>
      <c r="G53" s="84" t="str">
        <f>IFERROR(__xludf.DUMMYFUNCTION("""COMPUTED_VALUE"""),"Chop Cheong Bee Sdn Bhd")</f>
        <v>Chop Cheong Bee Sdn Bhd</v>
      </c>
      <c r="H53" s="75">
        <f>IFERROR(__xludf.DUMMYFUNCTION("""COMPUTED_VALUE"""),15000.0)</f>
        <v>15000</v>
      </c>
      <c r="I53" s="76">
        <f>IFERROR(__xludf.DUMMYFUNCTION("""COMPUTED_VALUE"""),2.13)</f>
        <v>2.13</v>
      </c>
      <c r="J53" s="75">
        <f>IFERROR(__xludf.DUMMYFUNCTION("""COMPUTED_VALUE"""),482.0)</f>
        <v>482</v>
      </c>
      <c r="K53" s="77">
        <f>IFERROR(__xludf.DUMMYFUNCTION("""COMPUTED_VALUE"""),0.03213333333333333)</f>
        <v>0.03213333333</v>
      </c>
      <c r="L53" s="77">
        <f>IFERROR(__xludf.DUMMYFUNCTION("""COMPUTED_VALUE"""),0.9678666666666667)</f>
        <v>0.9678666667</v>
      </c>
      <c r="M53" s="78">
        <f>IFERROR(__xludf.DUMMYFUNCTION("""COMPUTED_VALUE"""),35.0)</f>
        <v>35</v>
      </c>
      <c r="N53" s="78">
        <f>IFERROR(__xludf.DUMMYFUNCTION("""COMPUTED_VALUE"""),919.727)</f>
        <v>919.727</v>
      </c>
      <c r="O53" s="74">
        <f>IFERROR(__xludf.DUMMYFUNCTION("""COMPUTED_VALUE"""),1.46)</f>
        <v>1.46</v>
      </c>
      <c r="P53" s="80">
        <f>IFERROR(__xludf.DUMMYFUNCTION("""COMPUTED_VALUE"""),14518.0)</f>
        <v>14518</v>
      </c>
      <c r="Q53" s="79">
        <f>IFERROR(__xludf.DUMMYFUNCTION("""COMPUTED_VALUE"""),31497.5)</f>
        <v>31497.5</v>
      </c>
      <c r="R53" s="79">
        <f>IFERROR(__xludf.DUMMYFUNCTION("""COMPUTED_VALUE"""),2.17)</f>
        <v>2.17</v>
      </c>
      <c r="S53" s="73">
        <f>IFERROR(__xludf.DUMMYFUNCTION("""COMPUTED_VALUE"""),12.040993249758921)</f>
        <v>12.04099325</v>
      </c>
      <c r="T53" s="86">
        <f>IFERROR(__xludf.DUMMYFUNCTION("""COMPUTED_VALUE"""),12.242342609174818)</f>
        <v>12.24234261</v>
      </c>
      <c r="U53" s="86">
        <f>IFERROR(__xludf.DUMMYFUNCTION("""COMPUTED_VALUE"""),-0.20134935941589766)</f>
        <v>-0.2013493594</v>
      </c>
      <c r="V53" s="86">
        <f>IFERROR(__xludf.DUMMYFUNCTION("""COMPUTED_VALUE"""),5.550000476228273)</f>
        <v>5.550000476</v>
      </c>
      <c r="W53" s="86">
        <f>IFERROR(__xludf.DUMMYFUNCTION("""COMPUTED_VALUE"""),5.6428075244067)</f>
        <v>5.642807524</v>
      </c>
      <c r="X53" s="86">
        <f>IFERROR(__xludf.DUMMYFUNCTION("""COMPUTED_VALUE"""),-0.09280704817842711)</f>
        <v>-0.09280704818</v>
      </c>
      <c r="Y53" s="81">
        <f>IFERROR(__xludf.DUMMYFUNCTION("""COMPUTED_VALUE"""),-0.20134935941589766)</f>
        <v>-0.2013493594</v>
      </c>
      <c r="Z53" s="80">
        <f>IFERROR(__xludf.DUMMYFUNCTION("""COMPUTED_VALUE"""),359.63538812785384)</f>
        <v>359.6353881</v>
      </c>
      <c r="AA53" s="81" t="str">
        <f>IFERROR(__xludf.DUMMYFUNCTION("""COMPUTED_VALUE"""),"VERY BAD")</f>
        <v>VERY BAD</v>
      </c>
    </row>
    <row r="54">
      <c r="A54" s="87">
        <v>2025.0</v>
      </c>
      <c r="B54" s="88" t="s">
        <v>12</v>
      </c>
      <c r="C54" s="89" t="s">
        <v>75</v>
      </c>
      <c r="D54" s="90">
        <f>IFERROR(__xludf.DUMMYFUNCTION("TRANSPOSE(IMPORTRANGE(""1o4Ac6NI0SfLibsumFt9f9lHwJFVrF2ykccRsQvuxGAI"", ""2025!C12:G12""))"),479216.72)</f>
        <v>479216.72</v>
      </c>
      <c r="E54" s="90">
        <f>IFERROR(__xludf.DUMMYFUNCTION("TRANSPOSE(IMPORTRANGE(""1o4Ac6NI0SfLibsumFt9f9lHwJFVrF2ykccRsQvuxGAI"", ""2025!C37:G37""))"),433056.78)</f>
        <v>433056.78</v>
      </c>
      <c r="F54" s="91">
        <f t="shared" si="1"/>
        <v>46159.94</v>
      </c>
      <c r="G54" s="92" t="str">
        <f>IFERROR(__xludf.DUMMYFUNCTION("TRANSPOSE(IMPORTRANGE(""1o4Ac6NI0SfLibsumFt9f9lHwJFVrF2ykccRsQvuxGAI"", ""2025!C45:F65""))"),"Goldform Corporation Sdn Bhd")</f>
        <v>Goldform Corporation Sdn Bhd</v>
      </c>
      <c r="H54" s="93">
        <f>IFERROR(__xludf.DUMMYFUNCTION("""COMPUTED_VALUE"""),35040.0)</f>
        <v>35040</v>
      </c>
      <c r="I54" s="94">
        <f>IFERROR(__xludf.DUMMYFUNCTION("""COMPUTED_VALUE"""),1.85)</f>
        <v>1.85</v>
      </c>
      <c r="J54" s="93">
        <f>IFERROR(__xludf.DUMMYFUNCTION("""COMPUTED_VALUE"""),1590.0)</f>
        <v>1590</v>
      </c>
      <c r="K54" s="95">
        <f>IFERROR(__xludf.DUMMYFUNCTION("""COMPUTED_VALUE"""),0.045376712328767124)</f>
        <v>0.04537671233</v>
      </c>
      <c r="L54" s="95">
        <f>IFERROR(__xludf.DUMMYFUNCTION("""COMPUTED_VALUE"""),0.9546232876712328)</f>
        <v>0.9546232877</v>
      </c>
      <c r="M54" s="96">
        <f>IFERROR(__xludf.DUMMYFUNCTION("""COMPUTED_VALUE"""),32.0)</f>
        <v>32</v>
      </c>
      <c r="N54" s="93">
        <f>IFERROR(__xludf.DUMMYFUNCTION("""COMPUTED_VALUE"""),2505.0)</f>
        <v>2505</v>
      </c>
      <c r="O54" s="94">
        <f>IFERROR(__xludf.DUMMYFUNCTION("""COMPUTED_VALUE"""),1.5396438941964092)</f>
        <v>1.539643894</v>
      </c>
      <c r="P54" s="97">
        <f>IFERROR(__xludf.DUMMYFUNCTION("""COMPUTED_VALUE"""),33450.0)</f>
        <v>33450</v>
      </c>
      <c r="Q54" s="91">
        <f>IFERROR(__xludf.DUMMYFUNCTION("""COMPUTED_VALUE"""),81349.98)</f>
        <v>81349.98</v>
      </c>
      <c r="R54" s="91">
        <f>IFERROR(__xludf.DUMMYFUNCTION("""COMPUTED_VALUE"""),2.431987443946188)</f>
        <v>2.431987444</v>
      </c>
      <c r="S54" s="91">
        <f>IFERROR(__xludf.DUMMYFUNCTION("""COMPUTED_VALUE"""),14.326359342301942)</f>
        <v>14.32635934</v>
      </c>
      <c r="T54" s="98">
        <f>IFERROR(__xludf.DUMMYFUNCTION("""COMPUTED_VALUE"""),12.946391031390135)</f>
        <v>12.94639103</v>
      </c>
      <c r="U54" s="98">
        <f>IFERROR(__xludf.DUMMYFUNCTION("""COMPUTED_VALUE"""),1.3799683109118064)</f>
        <v>1.379968311</v>
      </c>
      <c r="V54" s="98">
        <f>IFERROR(__xludf.DUMMYFUNCTION("""COMPUTED_VALUE"""),5.8882217303556805)</f>
        <v>5.88822173</v>
      </c>
      <c r="W54" s="98">
        <f>IFERROR(__xludf.DUMMYFUNCTION("""COMPUTED_VALUE"""),5.323379059220421)</f>
        <v>5.323379059</v>
      </c>
      <c r="X54" s="98">
        <f>IFERROR(__xludf.DUMMYFUNCTION("""COMPUTED_VALUE"""),0.5648426711352599)</f>
        <v>0.5648426711</v>
      </c>
      <c r="Y54" s="98">
        <f>IFERROR(__xludf.DUMMYFUNCTION("""COMPUTED_VALUE"""),1.379968310911807)</f>
        <v>1.379968311</v>
      </c>
      <c r="Z54" s="99">
        <f>IFERROR(__xludf.DUMMYFUNCTION("""COMPUTED_VALUE"""),471.21932262760436)</f>
        <v>471.2193226</v>
      </c>
      <c r="AA54" s="100" t="str">
        <f>IFERROR(__xludf.DUMMYFUNCTION("""COMPUTED_VALUE"""),"VERY GOOD")</f>
        <v>VERY GOOD</v>
      </c>
    </row>
    <row r="55">
      <c r="A55" s="87">
        <v>2025.0</v>
      </c>
      <c r="B55" s="88" t="s">
        <v>12</v>
      </c>
      <c r="C55" s="89" t="s">
        <v>76</v>
      </c>
      <c r="D55" s="90">
        <f>IFERROR(__xludf.DUMMYFUNCTION("""COMPUTED_VALUE"""),447975.66)</f>
        <v>447975.66</v>
      </c>
      <c r="E55" s="90">
        <f>IFERROR(__xludf.DUMMYFUNCTION("""COMPUTED_VALUE"""),432300.9199999999)</f>
        <v>432300.92</v>
      </c>
      <c r="F55" s="91">
        <f t="shared" si="1"/>
        <v>15674.74</v>
      </c>
      <c r="G55" s="92" t="str">
        <f>IFERROR(__xludf.DUMMYFUNCTION("""COMPUTED_VALUE"""),"Goldform Corporation Sdn Bhd")</f>
        <v>Goldform Corporation Sdn Bhd</v>
      </c>
      <c r="H55" s="93">
        <f>IFERROR(__xludf.DUMMYFUNCTION("""COMPUTED_VALUE"""),34720.0)</f>
        <v>34720</v>
      </c>
      <c r="I55" s="94">
        <f>IFERROR(__xludf.DUMMYFUNCTION("""COMPUTED_VALUE"""),1.85)</f>
        <v>1.85</v>
      </c>
      <c r="J55" s="93">
        <f>IFERROR(__xludf.DUMMYFUNCTION("""COMPUTED_VALUE"""),1972.0)</f>
        <v>1972</v>
      </c>
      <c r="K55" s="95">
        <f>IFERROR(__xludf.DUMMYFUNCTION("""COMPUTED_VALUE"""),0.05679723502304147)</f>
        <v>0.05679723502</v>
      </c>
      <c r="L55" s="95">
        <f>IFERROR(__xludf.DUMMYFUNCTION("""COMPUTED_VALUE"""),0.9432027649769585)</f>
        <v>0.943202765</v>
      </c>
      <c r="M55" s="96">
        <f>IFERROR(__xludf.DUMMYFUNCTION("""COMPUTED_VALUE"""),33.0)</f>
        <v>33</v>
      </c>
      <c r="N55" s="93">
        <f>IFERROR(__xludf.DUMMYFUNCTION("""COMPUTED_VALUE"""),2420.0)</f>
        <v>2420</v>
      </c>
      <c r="O55" s="94">
        <f>IFERROR(__xludf.DUMMYFUNCTION("""COMPUTED_VALUE"""),1.595322777306652)</f>
        <v>1.595322777</v>
      </c>
      <c r="P55" s="97">
        <f>IFERROR(__xludf.DUMMYFUNCTION("""COMPUTED_VALUE"""),32748.0)</f>
        <v>32748</v>
      </c>
      <c r="Q55" s="91">
        <f>IFERROR(__xludf.DUMMYFUNCTION("""COMPUTED_VALUE"""),75846.72)</f>
        <v>75846.72</v>
      </c>
      <c r="R55" s="91">
        <f>IFERROR(__xludf.DUMMYFUNCTION("""COMPUTED_VALUE"""),2.3160718211799196)</f>
        <v>2.316071821</v>
      </c>
      <c r="S55" s="91">
        <f>IFERROR(__xludf.DUMMYFUNCTION("""COMPUTED_VALUE"""),13.679481495053132)</f>
        <v>13.6794815</v>
      </c>
      <c r="T55" s="98">
        <f>IFERROR(__xludf.DUMMYFUNCTION("""COMPUTED_VALUE"""),13.20083424941981)</f>
        <v>13.20083425</v>
      </c>
      <c r="U55" s="98">
        <f>IFERROR(__xludf.DUMMYFUNCTION("""COMPUTED_VALUE"""),0.47864724563332217)</f>
        <v>0.4786472456</v>
      </c>
      <c r="V55" s="98">
        <f>IFERROR(__xludf.DUMMYFUNCTION("""COMPUTED_VALUE"""),5.900000158213829)</f>
        <v>5.900000158</v>
      </c>
      <c r="W55" s="98">
        <f>IFERROR(__xludf.DUMMYFUNCTION("""COMPUTED_VALUE"""),5.699665325013394)</f>
        <v>5.699665325</v>
      </c>
      <c r="X55" s="98">
        <f>IFERROR(__xludf.DUMMYFUNCTION("""COMPUTED_VALUE"""),0.20033483320043466)</f>
        <v>0.2003348332</v>
      </c>
      <c r="Y55" s="98">
        <f>IFERROR(__xludf.DUMMYFUNCTION("""COMPUTED_VALUE"""),0.4786472456333226)</f>
        <v>0.4786472456</v>
      </c>
      <c r="Z55" s="99">
        <f>IFERROR(__xludf.DUMMYFUNCTION("""COMPUTED_VALUE"""),414.9488660713854)</f>
        <v>414.9488661</v>
      </c>
      <c r="AA55" s="100" t="str">
        <f>IFERROR(__xludf.DUMMYFUNCTION("""COMPUTED_VALUE"""),"VERY BAD")</f>
        <v>VERY BAD</v>
      </c>
    </row>
    <row r="56">
      <c r="A56" s="87">
        <v>2025.0</v>
      </c>
      <c r="B56" s="88" t="s">
        <v>12</v>
      </c>
      <c r="C56" s="89" t="s">
        <v>77</v>
      </c>
      <c r="D56" s="90">
        <f>IFERROR(__xludf.DUMMYFUNCTION("""COMPUTED_VALUE"""),430719.54)</f>
        <v>430719.54</v>
      </c>
      <c r="E56" s="90">
        <f>IFERROR(__xludf.DUMMYFUNCTION("""COMPUTED_VALUE"""),447040.11999999994)</f>
        <v>447040.12</v>
      </c>
      <c r="F56" s="91">
        <f t="shared" si="1"/>
        <v>-16320.58</v>
      </c>
      <c r="G56" s="92" t="str">
        <f>IFERROR(__xludf.DUMMYFUNCTION("""COMPUTED_VALUE"""),"Goldform Corporation Sdn Bhd")</f>
        <v>Goldform Corporation Sdn Bhd</v>
      </c>
      <c r="H56" s="93">
        <f>IFERROR(__xludf.DUMMYFUNCTION("""COMPUTED_VALUE"""),34960.0)</f>
        <v>34960</v>
      </c>
      <c r="I56" s="91">
        <f>IFERROR(__xludf.DUMMYFUNCTION("""COMPUTED_VALUE"""),1.85)</f>
        <v>1.85</v>
      </c>
      <c r="J56" s="93">
        <f>IFERROR(__xludf.DUMMYFUNCTION("""COMPUTED_VALUE"""),2239.0)</f>
        <v>2239</v>
      </c>
      <c r="K56" s="95">
        <f>IFERROR(__xludf.DUMMYFUNCTION("""COMPUTED_VALUE"""),0.06404462242562929)</f>
        <v>0.06404462243</v>
      </c>
      <c r="L56" s="95">
        <f>IFERROR(__xludf.DUMMYFUNCTION("""COMPUTED_VALUE"""),0.9359553775743708)</f>
        <v>0.9359553776</v>
      </c>
      <c r="M56" s="96">
        <f>IFERROR(__xludf.DUMMYFUNCTION("""COMPUTED_VALUE"""),33.0)</f>
        <v>33</v>
      </c>
      <c r="N56" s="93">
        <f>IFERROR(__xludf.DUMMYFUNCTION("""COMPUTED_VALUE"""),2557.0)</f>
        <v>2557</v>
      </c>
      <c r="O56" s="94">
        <f>IFERROR(__xludf.DUMMYFUNCTION("""COMPUTED_VALUE"""),1.7468362247788136)</f>
        <v>1.746836225</v>
      </c>
      <c r="P56" s="97">
        <f>IFERROR(__xludf.DUMMYFUNCTION("""COMPUTED_VALUE"""),32721.0)</f>
        <v>32721</v>
      </c>
      <c r="Q56" s="91">
        <f>IFERROR(__xludf.DUMMYFUNCTION("""COMPUTED_VALUE"""),73189.46)</f>
        <v>73189.46</v>
      </c>
      <c r="R56" s="91">
        <f>IFERROR(__xludf.DUMMYFUNCTION("""COMPUTED_VALUE"""),2.2367733259985942)</f>
        <v>2.236773326</v>
      </c>
      <c r="S56" s="91">
        <f>IFERROR(__xludf.DUMMYFUNCTION("""COMPUTED_VALUE"""),13.163397817915099)</f>
        <v>13.16339782</v>
      </c>
      <c r="T56" s="98">
        <f>IFERROR(__xludf.DUMMYFUNCTION("""COMPUTED_VALUE"""),13.662177806301761)</f>
        <v>13.66217781</v>
      </c>
      <c r="U56" s="98">
        <f>IFERROR(__xludf.DUMMYFUNCTION("""COMPUTED_VALUE"""),-0.49877998838666215)</f>
        <v>-0.4987799884</v>
      </c>
      <c r="V56" s="98">
        <f>IFERROR(__xludf.DUMMYFUNCTION("""COMPUTED_VALUE"""),5.88260304147619)</f>
        <v>5.882603041</v>
      </c>
      <c r="W56" s="98">
        <f>IFERROR(__xludf.DUMMYFUNCTION("""COMPUTED_VALUE"""),6.1079849475593875)</f>
        <v>6.107984948</v>
      </c>
      <c r="X56" s="98">
        <f>IFERROR(__xludf.DUMMYFUNCTION("""COMPUTED_VALUE"""),-0.22538190608319741)</f>
        <v>-0.2253819061</v>
      </c>
      <c r="Y56" s="98">
        <f>IFERROR(__xludf.DUMMYFUNCTION("""COMPUTED_VALUE"""),-0.4987799883866617)</f>
        <v>-0.4987799884</v>
      </c>
      <c r="Z56" s="99">
        <f>IFERROR(__xludf.DUMMYFUNCTION("""COMPUTED_VALUE"""),363.17085593680105)</f>
        <v>363.1708559</v>
      </c>
      <c r="AA56" s="100" t="str">
        <f>IFERROR(__xludf.DUMMYFUNCTION("""COMPUTED_VALUE"""),"VERY BAD")</f>
        <v>VERY BAD</v>
      </c>
    </row>
    <row r="57">
      <c r="A57" s="87">
        <v>2025.0</v>
      </c>
      <c r="B57" s="88" t="s">
        <v>12</v>
      </c>
      <c r="C57" s="89" t="s">
        <v>78</v>
      </c>
      <c r="D57" s="90">
        <f>IFERROR(__xludf.DUMMYFUNCTION("""COMPUTED_VALUE"""),348802.3)</f>
        <v>348802.3</v>
      </c>
      <c r="E57" s="90">
        <f>IFERROR(__xludf.DUMMYFUNCTION("""COMPUTED_VALUE"""),378615.14999999997)</f>
        <v>378615.15</v>
      </c>
      <c r="F57" s="91">
        <f t="shared" si="1"/>
        <v>-29812.85</v>
      </c>
      <c r="G57" s="92" t="str">
        <f>IFERROR(__xludf.DUMMYFUNCTION("""COMPUTED_VALUE"""),"Goldform Corporation Sdn Bhd")</f>
        <v>Goldform Corporation Sdn Bhd</v>
      </c>
      <c r="H57" s="93">
        <f>IFERROR(__xludf.DUMMYFUNCTION("""COMPUTED_VALUE"""),32800.0)</f>
        <v>32800</v>
      </c>
      <c r="I57" s="91">
        <f>IFERROR(__xludf.DUMMYFUNCTION("""COMPUTED_VALUE"""),1.85)</f>
        <v>1.85</v>
      </c>
      <c r="J57" s="93">
        <f>IFERROR(__xludf.DUMMYFUNCTION("""COMPUTED_VALUE"""),2400.0)</f>
        <v>2400</v>
      </c>
      <c r="K57" s="95">
        <f>IFERROR(__xludf.DUMMYFUNCTION("""COMPUTED_VALUE"""),0.07317073170731707)</f>
        <v>0.07317073171</v>
      </c>
      <c r="L57" s="95">
        <f>IFERROR(__xludf.DUMMYFUNCTION("""COMPUTED_VALUE"""),0.926829268292683)</f>
        <v>0.9268292683</v>
      </c>
      <c r="M57" s="96">
        <f>IFERROR(__xludf.DUMMYFUNCTION("""COMPUTED_VALUE"""),36.07)</f>
        <v>36.07</v>
      </c>
      <c r="N57" s="93">
        <f>IFERROR(__xludf.DUMMYFUNCTION("""COMPUTED_VALUE"""),2065.0)</f>
        <v>2065</v>
      </c>
      <c r="O57" s="94">
        <f>IFERROR(__xludf.DUMMYFUNCTION("""COMPUTED_VALUE"""),1.7458555165483431)</f>
        <v>1.745855517</v>
      </c>
      <c r="P57" s="97">
        <f>IFERROR(__xludf.DUMMYFUNCTION("""COMPUTED_VALUE"""),30400.0)</f>
        <v>30400</v>
      </c>
      <c r="Q57" s="91">
        <f>IFERROR(__xludf.DUMMYFUNCTION("""COMPUTED_VALUE"""),59140.06)</f>
        <v>59140.06</v>
      </c>
      <c r="R57" s="91">
        <f>IFERROR(__xludf.DUMMYFUNCTION("""COMPUTED_VALUE"""),1.9453967105263157)</f>
        <v>1.945396711</v>
      </c>
      <c r="S57" s="91">
        <f>IFERROR(__xludf.DUMMYFUNCTION("""COMPUTED_VALUE"""),11.473759868421052)</f>
        <v>11.47375987</v>
      </c>
      <c r="T57" s="98">
        <f>IFERROR(__xludf.DUMMYFUNCTION("""COMPUTED_VALUE"""),12.45444572368421)</f>
        <v>12.45444572</v>
      </c>
      <c r="U57" s="98">
        <f>IFERROR(__xludf.DUMMYFUNCTION("""COMPUTED_VALUE"""),-0.9806858552631574)</f>
        <v>-0.9806858553</v>
      </c>
      <c r="V57" s="98">
        <f>IFERROR(__xludf.DUMMYFUNCTION("""COMPUTED_VALUE"""),5.897226008901581)</f>
        <v>5.897226009</v>
      </c>
      <c r="W57" s="98">
        <f>IFERROR(__xludf.DUMMYFUNCTION("""COMPUTED_VALUE"""),6.40200821575088)</f>
        <v>6.402008216</v>
      </c>
      <c r="X57" s="98">
        <f>IFERROR(__xludf.DUMMYFUNCTION("""COMPUTED_VALUE"""),-0.5047822068492991)</f>
        <v>-0.5047822068</v>
      </c>
      <c r="Y57" s="98">
        <f>IFERROR(__xludf.DUMMYFUNCTION("""COMPUTED_VALUE"""),-0.9806858552631571)</f>
        <v>-0.9806858553</v>
      </c>
      <c r="Z57" s="99">
        <f>IFERROR(__xludf.DUMMYFUNCTION("""COMPUTED_VALUE"""),286.32118001387454)</f>
        <v>286.32118</v>
      </c>
      <c r="AA57" s="100" t="str">
        <f>IFERROR(__xludf.DUMMYFUNCTION("""COMPUTED_VALUE"""),"VERY BAD")</f>
        <v>VERY BAD</v>
      </c>
    </row>
    <row r="58">
      <c r="A58" s="87">
        <v>2025.0</v>
      </c>
      <c r="B58" s="88" t="s">
        <v>12</v>
      </c>
      <c r="C58" s="89" t="s">
        <v>79</v>
      </c>
      <c r="D58" s="91">
        <f>IFERROR(__xludf.DUMMYFUNCTION("""COMPUTED_VALUE"""),379456.74000000005)</f>
        <v>379456.74</v>
      </c>
      <c r="E58" s="91">
        <f>IFERROR(__xludf.DUMMYFUNCTION("""COMPUTED_VALUE"""),396264.42)</f>
        <v>396264.42</v>
      </c>
      <c r="F58" s="91">
        <f t="shared" si="1"/>
        <v>-16807.68</v>
      </c>
      <c r="G58" s="93" t="s">
        <v>80</v>
      </c>
      <c r="H58" s="101">
        <v>32800.0</v>
      </c>
      <c r="I58" s="90">
        <v>1.85</v>
      </c>
      <c r="J58" s="101">
        <v>3382.0</v>
      </c>
      <c r="K58" s="102">
        <f>IFERROR(J58/H58, 0)</f>
        <v>0.1031097561</v>
      </c>
      <c r="L58" s="102">
        <f>IFERROR((H58-J58)/H58, 0)</f>
        <v>0.8968902439</v>
      </c>
      <c r="M58" s="103">
        <v>38.0</v>
      </c>
      <c r="N58" s="101">
        <v>2204.0</v>
      </c>
      <c r="O58" s="104">
        <f>IFERROR((N58*50)/Q58, 0)</f>
        <v>1.687205304</v>
      </c>
      <c r="P58" s="101">
        <f>IFERROR(H58-J58, 0)</f>
        <v>29418</v>
      </c>
      <c r="Q58" s="90">
        <v>65315.11</v>
      </c>
      <c r="R58" s="90">
        <f>IFERROR(Q58/P58, 0)</f>
        <v>2.220243048</v>
      </c>
      <c r="S58" s="90">
        <f>IFERROR((#REF!+#REF!)/P58, 0)</f>
        <v>0</v>
      </c>
      <c r="T58" s="90">
        <f>IFERROR(#REF!/P58, 0)</f>
        <v>0</v>
      </c>
      <c r="U58" s="90">
        <f>IFERROR(S58-T58, 0)</f>
        <v>0</v>
      </c>
      <c r="V58" s="90">
        <f>IFERROR((#REF!+#REF!)/Q58, 0)</f>
        <v>0</v>
      </c>
      <c r="W58" s="90">
        <f>IFERROR(#REF!/Q58, 0)</f>
        <v>0</v>
      </c>
      <c r="X58" s="90">
        <f>IFERROR(V58-W58, 0)</f>
        <v>0</v>
      </c>
      <c r="Y58" s="105">
        <f>IFERROR(A58/P58, 0)</f>
        <v>0.06883540689</v>
      </c>
      <c r="Z58" s="106">
        <f>IFERROR(100*(100*(R58)*((P58/H58))/(O58*M58)), 0)</f>
        <v>310.5905876</v>
      </c>
      <c r="AA58" s="107" t="s">
        <v>81</v>
      </c>
    </row>
    <row r="59">
      <c r="A59" s="87">
        <v>2025.0</v>
      </c>
      <c r="B59" s="88" t="s">
        <v>17</v>
      </c>
      <c r="C59" s="89" t="s">
        <v>75</v>
      </c>
      <c r="D59" s="91">
        <f>IFERROR(__xludf.DUMMYFUNCTION("TRANSPOSE(IMPORTRANGE(""1OP-qxVLNURBqstk-WZQd8qB2vYxDQLc8s35zWl_CMzo"", ""2025!C12:G12""))"),480302.05)</f>
        <v>480302.05</v>
      </c>
      <c r="E59" s="91">
        <f>IFERROR(__xludf.DUMMYFUNCTION("TRANSPOSE(IMPORTRANGE(""1OP-qxVLNURBqstk-WZQd8qB2vYxDQLc8s35zWl_CMzo"", ""2025!C37:G37""))"),462223.55)</f>
        <v>462223.55</v>
      </c>
      <c r="F59" s="91">
        <f t="shared" si="1"/>
        <v>18078.5</v>
      </c>
      <c r="G59" s="93" t="str">
        <f>IFERROR(__xludf.DUMMYFUNCTION("TRANSPOSE(IMPORTRANGE(""1OP-qxVLNURBqstk-WZQd8qB2vYxDQLc8s35zWl_CMzo"", ""2025!C45:F65""))"),"Chop Cheong Bee Sdn Bhd")</f>
        <v>Chop Cheong Bee Sdn Bhd</v>
      </c>
      <c r="H59" s="93">
        <f>IFERROR(__xludf.DUMMYFUNCTION("""COMPUTED_VALUE"""),43000.0)</f>
        <v>43000</v>
      </c>
      <c r="I59" s="94">
        <f>IFERROR(__xludf.DUMMYFUNCTION("""COMPUTED_VALUE"""),2.12)</f>
        <v>2.12</v>
      </c>
      <c r="J59" s="93">
        <f>IFERROR(__xludf.DUMMYFUNCTION("""COMPUTED_VALUE"""),1387.0)</f>
        <v>1387</v>
      </c>
      <c r="K59" s="95">
        <f>IFERROR(__xludf.DUMMYFUNCTION("""COMPUTED_VALUE"""),0.03225581395348837)</f>
        <v>0.03225581395</v>
      </c>
      <c r="L59" s="95">
        <f>IFERROR(__xludf.DUMMYFUNCTION("""COMPUTED_VALUE"""),0.9677441860465116)</f>
        <v>0.967744186</v>
      </c>
      <c r="M59" s="96">
        <f>IFERROR(__xludf.DUMMYFUNCTION("""COMPUTED_VALUE"""),42.0)</f>
        <v>42</v>
      </c>
      <c r="N59" s="93">
        <f>IFERROR(__xludf.DUMMYFUNCTION("""COMPUTED_VALUE"""),2731.0)</f>
        <v>2731</v>
      </c>
      <c r="O59" s="94">
        <f>IFERROR(__xludf.DUMMYFUNCTION("""COMPUTED_VALUE"""),1.5778666503352752)</f>
        <v>1.57786665</v>
      </c>
      <c r="P59" s="93">
        <f>IFERROR(__xludf.DUMMYFUNCTION("""COMPUTED_VALUE"""),41613.0)</f>
        <v>41613</v>
      </c>
      <c r="Q59" s="91">
        <f>IFERROR(__xludf.DUMMYFUNCTION("""COMPUTED_VALUE"""),86540.9)</f>
        <v>86540.9</v>
      </c>
      <c r="R59" s="91">
        <f>IFERROR(__xludf.DUMMYFUNCTION("""COMPUTED_VALUE"""),2.0796602023406145)</f>
        <v>2.079660202</v>
      </c>
      <c r="S59" s="91">
        <f>IFERROR(__xludf.DUMMYFUNCTION("""COMPUTED_VALUE"""),11.542115444692763)</f>
        <v>11.54211544</v>
      </c>
      <c r="T59" s="98">
        <f>IFERROR(__xludf.DUMMYFUNCTION("""COMPUTED_VALUE"""),11.10767188138322)</f>
        <v>11.10767188</v>
      </c>
      <c r="U59" s="98">
        <f>IFERROR(__xludf.DUMMYFUNCTION("""COMPUTED_VALUE"""),0.4344435633095429)</f>
        <v>0.4344435633</v>
      </c>
      <c r="V59" s="98">
        <f>IFERROR(__xludf.DUMMYFUNCTION("""COMPUTED_VALUE"""),5.550000635537648)</f>
        <v>5.550000636</v>
      </c>
      <c r="W59" s="98">
        <f>IFERROR(__xludf.DUMMYFUNCTION("""COMPUTED_VALUE"""),5.341099410798825)</f>
        <v>5.341099411</v>
      </c>
      <c r="X59" s="98">
        <f>IFERROR(__xludf.DUMMYFUNCTION("""COMPUTED_VALUE"""),0.2089012247388231)</f>
        <v>0.2089012247</v>
      </c>
      <c r="Y59" s="98">
        <f>IFERROR(__xludf.DUMMYFUNCTION("""COMPUTED_VALUE"""),0.4344435633095427)</f>
        <v>0.4344435633</v>
      </c>
      <c r="Z59" s="99">
        <f>IFERROR(__xludf.DUMMYFUNCTION("""COMPUTED_VALUE"""),303.6920088905811)</f>
        <v>303.6920089</v>
      </c>
      <c r="AA59" s="100" t="str">
        <f>IFERROR(__xludf.DUMMYFUNCTION("""COMPUTED_VALUE"""),"VERY BAD")</f>
        <v>VERY BAD</v>
      </c>
    </row>
    <row r="60">
      <c r="A60" s="87">
        <v>2025.0</v>
      </c>
      <c r="B60" s="88" t="s">
        <v>17</v>
      </c>
      <c r="C60" s="89" t="s">
        <v>76</v>
      </c>
      <c r="D60" s="91">
        <f>IFERROR(__xludf.DUMMYFUNCTION("""COMPUTED_VALUE"""),548566.87)</f>
        <v>548566.87</v>
      </c>
      <c r="E60" s="91">
        <f>IFERROR(__xludf.DUMMYFUNCTION("""COMPUTED_VALUE"""),476389.75)</f>
        <v>476389.75</v>
      </c>
      <c r="F60" s="91">
        <f t="shared" si="1"/>
        <v>72177.12</v>
      </c>
      <c r="G60" s="93" t="str">
        <f>IFERROR(__xludf.DUMMYFUNCTION("""COMPUTED_VALUE"""),"Chop Cheong Bee Sdn Bhd")</f>
        <v>Chop Cheong Bee Sdn Bhd</v>
      </c>
      <c r="H60" s="93">
        <f>IFERROR(__xludf.DUMMYFUNCTION("""COMPUTED_VALUE"""),43800.0)</f>
        <v>43800</v>
      </c>
      <c r="I60" s="94">
        <f>IFERROR(__xludf.DUMMYFUNCTION("""COMPUTED_VALUE"""),2.12)</f>
        <v>2.12</v>
      </c>
      <c r="J60" s="93">
        <f>IFERROR(__xludf.DUMMYFUNCTION("""COMPUTED_VALUE"""),1752.0)</f>
        <v>1752</v>
      </c>
      <c r="K60" s="95">
        <f>IFERROR(__xludf.DUMMYFUNCTION("""COMPUTED_VALUE"""),0.04)</f>
        <v>0.04</v>
      </c>
      <c r="L60" s="95">
        <f>IFERROR(__xludf.DUMMYFUNCTION("""COMPUTED_VALUE"""),0.96)</f>
        <v>0.96</v>
      </c>
      <c r="M60" s="96">
        <f>IFERROR(__xludf.DUMMYFUNCTION("""COMPUTED_VALUE"""),42.0)</f>
        <v>42</v>
      </c>
      <c r="N60" s="93">
        <f>IFERROR(__xludf.DUMMYFUNCTION("""COMPUTED_VALUE"""),2898.0)</f>
        <v>2898</v>
      </c>
      <c r="O60" s="94">
        <f>IFERROR(__xludf.DUMMYFUNCTION("""COMPUTED_VALUE"""),1.479494149820786)</f>
        <v>1.47949415</v>
      </c>
      <c r="P60" s="93">
        <f>IFERROR(__xludf.DUMMYFUNCTION("""COMPUTED_VALUE"""),42048.0)</f>
        <v>42048</v>
      </c>
      <c r="Q60" s="91">
        <f>IFERROR(__xludf.DUMMYFUNCTION("""COMPUTED_VALUE"""),97938.88)</f>
        <v>97938.88</v>
      </c>
      <c r="R60" s="91">
        <f>IFERROR(__xludf.DUMMYFUNCTION("""COMPUTED_VALUE"""),2.3292161339421615)</f>
        <v>2.329216134</v>
      </c>
      <c r="S60" s="91">
        <f>IFERROR(__xludf.DUMMYFUNCTION("""COMPUTED_VALUE"""),13.046206002663622)</f>
        <v>13.046206</v>
      </c>
      <c r="T60" s="98">
        <f>IFERROR(__xludf.DUMMYFUNCTION("""COMPUTED_VALUE"""),11.329664906773212)</f>
        <v>11.32966491</v>
      </c>
      <c r="U60" s="98">
        <f>IFERROR(__xludf.DUMMYFUNCTION("""COMPUTED_VALUE"""),1.7165410958904097)</f>
        <v>1.716541096</v>
      </c>
      <c r="V60" s="98">
        <f>IFERROR(__xludf.DUMMYFUNCTION("""COMPUTED_VALUE"""),5.601114388892338)</f>
        <v>5.601114389</v>
      </c>
      <c r="W60" s="98">
        <f>IFERROR(__xludf.DUMMYFUNCTION("""COMPUTED_VALUE"""),4.864153541474029)</f>
        <v>4.864153541</v>
      </c>
      <c r="X60" s="98">
        <f>IFERROR(__xludf.DUMMYFUNCTION("""COMPUTED_VALUE"""),0.7369608474183087)</f>
        <v>0.7369608474</v>
      </c>
      <c r="Y60" s="98">
        <f>IFERROR(__xludf.DUMMYFUNCTION("""COMPUTED_VALUE"""),1.7165410958904108)</f>
        <v>1.716541096</v>
      </c>
      <c r="Z60" s="99">
        <f>IFERROR(__xludf.DUMMYFUNCTION("""COMPUTED_VALUE"""),359.8474919628912)</f>
        <v>359.847492</v>
      </c>
      <c r="AA60" s="100" t="str">
        <f>IFERROR(__xludf.DUMMYFUNCTION("""COMPUTED_VALUE"""),"VERY GOOD")</f>
        <v>VERY GOOD</v>
      </c>
    </row>
    <row r="61">
      <c r="A61" s="87">
        <v>2025.0</v>
      </c>
      <c r="B61" s="88" t="s">
        <v>17</v>
      </c>
      <c r="C61" s="89" t="s">
        <v>77</v>
      </c>
      <c r="D61" s="91">
        <f>IFERROR(__xludf.DUMMYFUNCTION("""COMPUTED_VALUE"""),514557.26)</f>
        <v>514557.26</v>
      </c>
      <c r="E61" s="91">
        <f>IFERROR(__xludf.DUMMYFUNCTION("""COMPUTED_VALUE"""),458505.57)</f>
        <v>458505.57</v>
      </c>
      <c r="F61" s="91">
        <f t="shared" si="1"/>
        <v>56051.69</v>
      </c>
      <c r="G61" s="93" t="str">
        <f>IFERROR(__xludf.DUMMYFUNCTION("""COMPUTED_VALUE"""),"Chop Cheong Bee Sdn Bhd")</f>
        <v>Chop Cheong Bee Sdn Bhd</v>
      </c>
      <c r="H61" s="93">
        <f>IFERROR(__xludf.DUMMYFUNCTION("""COMPUTED_VALUE"""),43800.0)</f>
        <v>43800</v>
      </c>
      <c r="I61" s="94">
        <f>IFERROR(__xludf.DUMMYFUNCTION("""COMPUTED_VALUE"""),2.12)</f>
        <v>2.12</v>
      </c>
      <c r="J61" s="93">
        <f>IFERROR(__xludf.DUMMYFUNCTION("""COMPUTED_VALUE"""),1580.0)</f>
        <v>1580</v>
      </c>
      <c r="K61" s="95">
        <f>IFERROR(__xludf.DUMMYFUNCTION("""COMPUTED_VALUE"""),0.036073059360730596)</f>
        <v>0.03607305936</v>
      </c>
      <c r="L61" s="95">
        <f>IFERROR(__xludf.DUMMYFUNCTION("""COMPUTED_VALUE"""),0.9639269406392694)</f>
        <v>0.9639269406</v>
      </c>
      <c r="M61" s="96">
        <f>IFERROR(__xludf.DUMMYFUNCTION("""COMPUTED_VALUE"""),39.0)</f>
        <v>39</v>
      </c>
      <c r="N61" s="93">
        <f>IFERROR(__xludf.DUMMYFUNCTION("""COMPUTED_VALUE"""),2684.0)</f>
        <v>2684</v>
      </c>
      <c r="O61" s="94">
        <f>IFERROR(__xludf.DUMMYFUNCTION("""COMPUTED_VALUE"""),1.4474775438743712)</f>
        <v>1.447477544</v>
      </c>
      <c r="P61" s="99">
        <f>IFERROR(__xludf.DUMMYFUNCTION("""COMPUTED_VALUE"""),42220.0)</f>
        <v>42220</v>
      </c>
      <c r="Q61" s="98">
        <f>IFERROR(__xludf.DUMMYFUNCTION("""COMPUTED_VALUE"""),92713.01)</f>
        <v>92713.01</v>
      </c>
      <c r="R61" s="98">
        <f>IFERROR(__xludf.DUMMYFUNCTION("""COMPUTED_VALUE"""),2.195950023685457)</f>
        <v>2.195950024</v>
      </c>
      <c r="S61" s="91">
        <f>IFERROR(__xludf.DUMMYFUNCTION("""COMPUTED_VALUE"""),12.187523922311701)</f>
        <v>12.18752392</v>
      </c>
      <c r="T61" s="98">
        <f>IFERROR(__xludf.DUMMYFUNCTION("""COMPUTED_VALUE"""),10.85991402179062)</f>
        <v>10.85991402</v>
      </c>
      <c r="U61" s="98">
        <f>IFERROR(__xludf.DUMMYFUNCTION("""COMPUTED_VALUE"""),1.3276099005210806)</f>
        <v>1.327609901</v>
      </c>
      <c r="V61" s="98">
        <f>IFERROR(__xludf.DUMMYFUNCTION("""COMPUTED_VALUE"""),5.550000587835515)</f>
        <v>5.550000588</v>
      </c>
      <c r="W61" s="98">
        <f>IFERROR(__xludf.DUMMYFUNCTION("""COMPUTED_VALUE"""),4.945428586559751)</f>
        <v>4.945428587</v>
      </c>
      <c r="X61" s="98">
        <f>IFERROR(__xludf.DUMMYFUNCTION("""COMPUTED_VALUE"""),0.6045720012757645)</f>
        <v>0.6045720013</v>
      </c>
      <c r="Y61" s="98">
        <f>IFERROR(__xludf.DUMMYFUNCTION("""COMPUTED_VALUE"""),1.3276099005210802)</f>
        <v>1.327609901</v>
      </c>
      <c r="Z61" s="99">
        <f>IFERROR(__xludf.DUMMYFUNCTION("""COMPUTED_VALUE"""),374.9644793588818)</f>
        <v>374.9644794</v>
      </c>
      <c r="AA61" s="100" t="str">
        <f>IFERROR(__xludf.DUMMYFUNCTION("""COMPUTED_VALUE"""),"VERY GOOD")</f>
        <v>VERY GOOD</v>
      </c>
    </row>
    <row r="62">
      <c r="A62" s="87">
        <v>2025.0</v>
      </c>
      <c r="B62" s="88" t="s">
        <v>17</v>
      </c>
      <c r="C62" s="89" t="s">
        <v>78</v>
      </c>
      <c r="D62" s="91">
        <f>IFERROR(__xludf.DUMMYFUNCTION("""COMPUTED_VALUE"""),479179.33)</f>
        <v>479179.33</v>
      </c>
      <c r="E62" s="91">
        <f>IFERROR(__xludf.DUMMYFUNCTION("""COMPUTED_VALUE"""),452580.55)</f>
        <v>452580.55</v>
      </c>
      <c r="F62" s="91">
        <f t="shared" si="1"/>
        <v>26598.78</v>
      </c>
      <c r="G62" s="93" t="str">
        <f>IFERROR(__xludf.DUMMYFUNCTION("""COMPUTED_VALUE"""),"Chop Cheong Bee Sdn Bhd")</f>
        <v>Chop Cheong Bee Sdn Bhd</v>
      </c>
      <c r="H62" s="93">
        <f>IFERROR(__xludf.DUMMYFUNCTION("""COMPUTED_VALUE"""),43783.0)</f>
        <v>43783</v>
      </c>
      <c r="I62" s="94">
        <f>IFERROR(__xludf.DUMMYFUNCTION("""COMPUTED_VALUE"""),2.12)</f>
        <v>2.12</v>
      </c>
      <c r="J62" s="93">
        <f>IFERROR(__xludf.DUMMYFUNCTION("""COMPUTED_VALUE"""),1965.0)</f>
        <v>1965</v>
      </c>
      <c r="K62" s="95">
        <f>IFERROR(__xludf.DUMMYFUNCTION("""COMPUTED_VALUE"""),0.04488043304478907)</f>
        <v>0.04488043304</v>
      </c>
      <c r="L62" s="95">
        <f>IFERROR(__xludf.DUMMYFUNCTION("""COMPUTED_VALUE"""),0.9551195669552109)</f>
        <v>0.955119567</v>
      </c>
      <c r="M62" s="96">
        <f>IFERROR(__xludf.DUMMYFUNCTION("""COMPUTED_VALUE"""),40.0)</f>
        <v>40</v>
      </c>
      <c r="N62" s="93">
        <f>IFERROR(__xludf.DUMMYFUNCTION("""COMPUTED_VALUE"""),2906.0)</f>
        <v>2906</v>
      </c>
      <c r="O62" s="94">
        <f>IFERROR(__xludf.DUMMYFUNCTION("""COMPUTED_VALUE"""),1.6074520281221132)</f>
        <v>1.607452028</v>
      </c>
      <c r="P62" s="99">
        <f>IFERROR(__xludf.DUMMYFUNCTION("""COMPUTED_VALUE"""),41818.0)</f>
        <v>41818</v>
      </c>
      <c r="Q62" s="98">
        <f>IFERROR(__xludf.DUMMYFUNCTION("""COMPUTED_VALUE"""),90391.5)</f>
        <v>90391.5</v>
      </c>
      <c r="R62" s="98">
        <f>IFERROR(__xludf.DUMMYFUNCTION("""COMPUTED_VALUE"""),2.16154526758812)</f>
        <v>2.161545268</v>
      </c>
      <c r="S62" s="91">
        <f>IFERROR(__xludf.DUMMYFUNCTION("""COMPUTED_VALUE"""),11.458685972547707)</f>
        <v>11.45868597</v>
      </c>
      <c r="T62" s="98">
        <f>IFERROR(__xludf.DUMMYFUNCTION("""COMPUTED_VALUE"""),10.822625424458368)</f>
        <v>10.82262542</v>
      </c>
      <c r="U62" s="98">
        <f>IFERROR(__xludf.DUMMYFUNCTION("""COMPUTED_VALUE"""),0.6360605480893398)</f>
        <v>0.6360605481</v>
      </c>
      <c r="V62" s="98">
        <f>IFERROR(__xludf.DUMMYFUNCTION("""COMPUTED_VALUE"""),5.301154754595289)</f>
        <v>5.301154755</v>
      </c>
      <c r="W62" s="98">
        <f>IFERROR(__xludf.DUMMYFUNCTION("""COMPUTED_VALUE"""),5.006892794123341)</f>
        <v>5.006892794</v>
      </c>
      <c r="X62" s="98">
        <f>IFERROR(__xludf.DUMMYFUNCTION("""COMPUTED_VALUE"""),0.29426196047194786)</f>
        <v>0.2942619605</v>
      </c>
      <c r="Y62" s="98">
        <f>IFERROR(__xludf.DUMMYFUNCTION("""COMPUTED_VALUE"""),0.6360605480893402)</f>
        <v>0.6360605481</v>
      </c>
      <c r="Z62" s="99">
        <f>IFERROR(__xludf.DUMMYFUNCTION("""COMPUTED_VALUE"""),321.08799264521724)</f>
        <v>321.0879926</v>
      </c>
      <c r="AA62" s="100" t="str">
        <f>IFERROR(__xludf.DUMMYFUNCTION("""COMPUTED_VALUE"""),"JUST AVERAGE")</f>
        <v>JUST AVERAGE</v>
      </c>
    </row>
    <row r="63">
      <c r="A63" s="87">
        <v>2025.0</v>
      </c>
      <c r="B63" s="88" t="s">
        <v>17</v>
      </c>
      <c r="C63" s="89" t="s">
        <v>79</v>
      </c>
      <c r="D63" s="91">
        <f>IFERROR(__xludf.DUMMYFUNCTION("""COMPUTED_VALUE"""),452247.33)</f>
        <v>452247.33</v>
      </c>
      <c r="E63" s="91">
        <f>IFERROR(__xludf.DUMMYFUNCTION("""COMPUTED_VALUE"""),472779.29999999993)</f>
        <v>472779.3</v>
      </c>
      <c r="F63" s="91">
        <f t="shared" si="1"/>
        <v>-20531.97</v>
      </c>
      <c r="G63" s="93" t="s">
        <v>82</v>
      </c>
      <c r="H63" s="93">
        <v>43800.0</v>
      </c>
      <c r="I63" s="107">
        <v>2.12</v>
      </c>
      <c r="J63" s="93">
        <v>2710.0</v>
      </c>
      <c r="K63" s="95">
        <v>0.0619</v>
      </c>
      <c r="L63" s="95">
        <v>0.9381</v>
      </c>
      <c r="M63" s="107">
        <v>42.0</v>
      </c>
      <c r="N63" s="93">
        <v>2843.0</v>
      </c>
      <c r="O63" s="107">
        <v>1.69</v>
      </c>
      <c r="P63" s="93">
        <v>41090.0</v>
      </c>
      <c r="Q63" s="91">
        <v>84263.48</v>
      </c>
      <c r="R63" s="107">
        <v>2.05</v>
      </c>
      <c r="S63" s="107">
        <v>11.01</v>
      </c>
      <c r="T63" s="107">
        <v>11.51</v>
      </c>
      <c r="U63" s="107">
        <v>-0.5</v>
      </c>
      <c r="V63" s="107">
        <v>5.37</v>
      </c>
      <c r="W63" s="107">
        <v>5.61</v>
      </c>
      <c r="X63" s="107">
        <v>-0.24</v>
      </c>
      <c r="Y63" s="107">
        <v>-0.5</v>
      </c>
      <c r="Z63" s="107">
        <v>272.0</v>
      </c>
      <c r="AA63" s="107" t="s">
        <v>81</v>
      </c>
    </row>
    <row r="64">
      <c r="A64" s="87">
        <v>2025.0</v>
      </c>
      <c r="B64" s="88" t="s">
        <v>21</v>
      </c>
      <c r="C64" s="89" t="s">
        <v>75</v>
      </c>
      <c r="D64" s="91">
        <f>IFERROR(__xludf.DUMMYFUNCTION("TRANSPOSE(IMPORTRANGE(""1Y1LY7dyNGLp0NieLSn-6awoDagvXjF5SwgLKBcwcayI"", ""2025!C12:G12""))"),181735.53)</f>
        <v>181735.53</v>
      </c>
      <c r="E64" s="91">
        <f>IFERROR(__xludf.DUMMYFUNCTION("TRANSPOSE(IMPORTRANGE(""1Y1LY7dyNGLp0NieLSn-6awoDagvXjF5SwgLKBcwcayI"", ""2025!C37:G37""))"),169998.33333333337)</f>
        <v>169998.3333</v>
      </c>
      <c r="F64" s="91">
        <f t="shared" si="1"/>
        <v>11737.19667</v>
      </c>
      <c r="G64" s="107" t="str">
        <f>IFERROR(__xludf.DUMMYFUNCTION("TRANSPOSE(IMPORTRANGE(""1Y1LY7dyNGLp0NieLSn-6awoDagvXjF5SwgLKBcwcayI"", ""2025!C45:F65""))"),"Chop Cheong Bee Sdn Bhd")</f>
        <v>Chop Cheong Bee Sdn Bhd</v>
      </c>
      <c r="H64" s="93">
        <f>IFERROR(__xludf.DUMMYFUNCTION("""COMPUTED_VALUE"""),15000.0)</f>
        <v>15000</v>
      </c>
      <c r="I64" s="94">
        <f>IFERROR(__xludf.DUMMYFUNCTION("""COMPUTED_VALUE"""),2.13)</f>
        <v>2.13</v>
      </c>
      <c r="J64" s="93">
        <f>IFERROR(__xludf.DUMMYFUNCTION("""COMPUTED_VALUE"""),568.0)</f>
        <v>568</v>
      </c>
      <c r="K64" s="95">
        <f>IFERROR(__xludf.DUMMYFUNCTION("""COMPUTED_VALUE"""),0.037866666666666667)</f>
        <v>0.03786666667</v>
      </c>
      <c r="L64" s="95">
        <f>IFERROR(__xludf.DUMMYFUNCTION("""COMPUTED_VALUE"""),0.9621333333333333)</f>
        <v>0.9621333333</v>
      </c>
      <c r="M64" s="96">
        <f>IFERROR(__xludf.DUMMYFUNCTION("""COMPUTED_VALUE"""),37.0)</f>
        <v>37</v>
      </c>
      <c r="N64" s="107">
        <f>IFERROR(__xludf.DUMMYFUNCTION("""COMPUTED_VALUE"""),947.0)</f>
        <v>947</v>
      </c>
      <c r="O64" s="94">
        <f>IFERROR(__xludf.DUMMYFUNCTION("""COMPUTED_VALUE"""),1.446016111093127)</f>
        <v>1.446016111</v>
      </c>
      <c r="P64" s="93">
        <f>IFERROR(__xludf.DUMMYFUNCTION("""COMPUTED_VALUE"""),14432.0)</f>
        <v>14432</v>
      </c>
      <c r="Q64" s="91">
        <f>IFERROR(__xludf.DUMMYFUNCTION("""COMPUTED_VALUE"""),32745.14)</f>
        <v>32745.14</v>
      </c>
      <c r="R64" s="91">
        <f>IFERROR(__xludf.DUMMYFUNCTION("""COMPUTED_VALUE"""),2.268925997782705)</f>
        <v>2.268925998</v>
      </c>
      <c r="S64" s="91">
        <f>IFERROR(__xludf.DUMMYFUNCTION("""COMPUTED_VALUE"""),12.59253949556541)</f>
        <v>12.5925395</v>
      </c>
      <c r="T64" s="108">
        <f>IFERROR(__xludf.DUMMYFUNCTION("""COMPUTED_VALUE"""),11.779263673318553)</f>
        <v>11.77926367</v>
      </c>
      <c r="U64" s="108">
        <f>IFERROR(__xludf.DUMMYFUNCTION("""COMPUTED_VALUE"""),0.8132758222468564)</f>
        <v>0.8132758222</v>
      </c>
      <c r="V64" s="108">
        <f>IFERROR(__xludf.DUMMYFUNCTION("""COMPUTED_VALUE"""),5.550000091616649)</f>
        <v>5.550000092</v>
      </c>
      <c r="W64" s="109">
        <f>IFERROR(__xludf.DUMMYFUNCTION("""COMPUTED_VALUE"""),5.191559215606755)</f>
        <v>5.191559216</v>
      </c>
      <c r="X64" s="109">
        <f>IFERROR(__xludf.DUMMYFUNCTION("""COMPUTED_VALUE"""),0.3584408760098938)</f>
        <v>0.358440876</v>
      </c>
      <c r="Y64" s="109">
        <f>IFERROR(__xludf.DUMMYFUNCTION("""COMPUTED_VALUE"""),0.813275822246856)</f>
        <v>0.8132758222</v>
      </c>
      <c r="Z64" s="99">
        <f>IFERROR(__xludf.DUMMYFUNCTION("""COMPUTED_VALUE"""),408.01932841294945)</f>
        <v>408.0193284</v>
      </c>
      <c r="AA64" s="100" t="str">
        <f>IFERROR(__xludf.DUMMYFUNCTION("""COMPUTED_VALUE"""),"JUST AVERAGE")</f>
        <v>JUST AVERAGE</v>
      </c>
    </row>
    <row r="65">
      <c r="A65" s="87">
        <v>2025.0</v>
      </c>
      <c r="B65" s="88" t="s">
        <v>21</v>
      </c>
      <c r="C65" s="89" t="s">
        <v>76</v>
      </c>
      <c r="D65" s="91">
        <f>IFERROR(__xludf.DUMMYFUNCTION("""COMPUTED_VALUE"""),179977.65)</f>
        <v>179977.65</v>
      </c>
      <c r="E65" s="91">
        <f>IFERROR(__xludf.DUMMYFUNCTION("""COMPUTED_VALUE"""),165518.68333333332)</f>
        <v>165518.6833</v>
      </c>
      <c r="F65" s="91">
        <f t="shared" si="1"/>
        <v>14458.96667</v>
      </c>
      <c r="G65" s="107" t="str">
        <f>IFERROR(__xludf.DUMMYFUNCTION("""COMPUTED_VALUE"""),"Chop Cheong Bee Sdn Bhd")</f>
        <v>Chop Cheong Bee Sdn Bhd</v>
      </c>
      <c r="H65" s="93">
        <f>IFERROR(__xludf.DUMMYFUNCTION("""COMPUTED_VALUE"""),15000.0)</f>
        <v>15000</v>
      </c>
      <c r="I65" s="94">
        <f>IFERROR(__xludf.DUMMYFUNCTION("""COMPUTED_VALUE"""),2.13)</f>
        <v>2.13</v>
      </c>
      <c r="J65" s="93">
        <f>IFERROR(__xludf.DUMMYFUNCTION("""COMPUTED_VALUE"""),812.0)</f>
        <v>812</v>
      </c>
      <c r="K65" s="95">
        <f>IFERROR(__xludf.DUMMYFUNCTION("""COMPUTED_VALUE"""),0.05413333333333333)</f>
        <v>0.05413333333</v>
      </c>
      <c r="L65" s="95">
        <f>IFERROR(__xludf.DUMMYFUNCTION("""COMPUTED_VALUE"""),0.9458666666666666)</f>
        <v>0.9458666667</v>
      </c>
      <c r="M65" s="96">
        <f>IFERROR(__xludf.DUMMYFUNCTION("""COMPUTED_VALUE"""),37.0)</f>
        <v>37</v>
      </c>
      <c r="N65" s="107">
        <f>IFERROR(__xludf.DUMMYFUNCTION("""COMPUTED_VALUE"""),914.0)</f>
        <v>914</v>
      </c>
      <c r="O65" s="94">
        <f>IFERROR(__xludf.DUMMYFUNCTION("""COMPUTED_VALUE"""),1.4092585511465259)</f>
        <v>1.409258551</v>
      </c>
      <c r="P65" s="93">
        <f>IFERROR(__xludf.DUMMYFUNCTION("""COMPUTED_VALUE"""),14188.0)</f>
        <v>14188</v>
      </c>
      <c r="Q65" s="91">
        <f>IFERROR(__xludf.DUMMYFUNCTION("""COMPUTED_VALUE"""),32428.4)</f>
        <v>32428.4</v>
      </c>
      <c r="R65" s="91">
        <f>IFERROR(__xludf.DUMMYFUNCTION("""COMPUTED_VALUE"""),2.2856216521003665)</f>
        <v>2.285621652</v>
      </c>
      <c r="S65" s="91">
        <f>IFERROR(__xludf.DUMMYFUNCTION("""COMPUTED_VALUE"""),12.68520228361996)</f>
        <v>12.68520228</v>
      </c>
      <c r="T65" s="108">
        <f>IFERROR(__xludf.DUMMYFUNCTION("""COMPUTED_VALUE"""),11.666103984587913)</f>
        <v>11.66610398</v>
      </c>
      <c r="U65" s="108">
        <f>IFERROR(__xludf.DUMMYFUNCTION("""COMPUTED_VALUE"""),1.0190982990320467)</f>
        <v>1.019098299</v>
      </c>
      <c r="V65" s="108">
        <f>IFERROR(__xludf.DUMMYFUNCTION("""COMPUTED_VALUE"""),5.550000925115023)</f>
        <v>5.550000925</v>
      </c>
      <c r="W65" s="109">
        <f>IFERROR(__xludf.DUMMYFUNCTION("""COMPUTED_VALUE"""),5.104127349278204)</f>
        <v>5.104127349</v>
      </c>
      <c r="X65" s="109">
        <f>IFERROR(__xludf.DUMMYFUNCTION("""COMPUTED_VALUE"""),0.44587357583681886)</f>
        <v>0.4458735758</v>
      </c>
      <c r="Y65" s="109">
        <f>IFERROR(__xludf.DUMMYFUNCTION("""COMPUTED_VALUE"""),1.0190982990320465)</f>
        <v>1.019098299</v>
      </c>
      <c r="Z65" s="99">
        <f>IFERROR(__xludf.DUMMYFUNCTION("""COMPUTED_VALUE"""),414.6119922565892)</f>
        <v>414.6119923</v>
      </c>
      <c r="AA65" s="100" t="str">
        <f>IFERROR(__xludf.DUMMYFUNCTION("""COMPUTED_VALUE"""),"VERY GOOD")</f>
        <v>VERY GOOD</v>
      </c>
    </row>
    <row r="66">
      <c r="A66" s="87">
        <v>2025.0</v>
      </c>
      <c r="B66" s="88" t="s">
        <v>21</v>
      </c>
      <c r="C66" s="89" t="s">
        <v>77</v>
      </c>
      <c r="D66" s="98">
        <f>IFERROR(__xludf.DUMMYFUNCTION("""COMPUTED_VALUE"""),175645.31)</f>
        <v>175645.31</v>
      </c>
      <c r="E66" s="98">
        <f>IFERROR(__xludf.DUMMYFUNCTION("""COMPUTED_VALUE"""),163074.68333333335)</f>
        <v>163074.6833</v>
      </c>
      <c r="F66" s="91">
        <f t="shared" si="1"/>
        <v>12570.62667</v>
      </c>
      <c r="G66" s="100" t="str">
        <f>IFERROR(__xludf.DUMMYFUNCTION("""COMPUTED_VALUE"""),"Chop Cheong Bee Sdn Bhd")</f>
        <v>Chop Cheong Bee Sdn Bhd</v>
      </c>
      <c r="H66" s="99">
        <f>IFERROR(__xludf.DUMMYFUNCTION("""COMPUTED_VALUE"""),15000.0)</f>
        <v>15000</v>
      </c>
      <c r="I66" s="98">
        <f>IFERROR(__xludf.DUMMYFUNCTION("""COMPUTED_VALUE"""),2.13)</f>
        <v>2.13</v>
      </c>
      <c r="J66" s="99">
        <f>IFERROR(__xludf.DUMMYFUNCTION("""COMPUTED_VALUE"""),667.0)</f>
        <v>667</v>
      </c>
      <c r="K66" s="95">
        <f>IFERROR(__xludf.DUMMYFUNCTION("""COMPUTED_VALUE"""),0.04446666666666667)</f>
        <v>0.04446666667</v>
      </c>
      <c r="L66" s="110">
        <f>IFERROR(__xludf.DUMMYFUNCTION("""COMPUTED_VALUE"""),0.9555333333333333)</f>
        <v>0.9555333333</v>
      </c>
      <c r="M66" s="111">
        <f>IFERROR(__xludf.DUMMYFUNCTION("""COMPUTED_VALUE"""),37.0)</f>
        <v>37</v>
      </c>
      <c r="N66" s="100">
        <f>IFERROR(__xludf.DUMMYFUNCTION("""COMPUTED_VALUE"""),901.0)</f>
        <v>901</v>
      </c>
      <c r="O66" s="112">
        <f>IFERROR(__xludf.DUMMYFUNCTION("""COMPUTED_VALUE"""),1.4234796731526362)</f>
        <v>1.423479673</v>
      </c>
      <c r="P66" s="99">
        <f>IFERROR(__xludf.DUMMYFUNCTION("""COMPUTED_VALUE"""),14333.0)</f>
        <v>14333</v>
      </c>
      <c r="Q66" s="98">
        <f>IFERROR(__xludf.DUMMYFUNCTION("""COMPUTED_VALUE"""),31647.8)</f>
        <v>31647.8</v>
      </c>
      <c r="R66" s="98">
        <f>IFERROR(__xludf.DUMMYFUNCTION("""COMPUTED_VALUE"""),2.2080373962185167)</f>
        <v>2.208037396</v>
      </c>
      <c r="S66" s="91">
        <f>IFERROR(__xludf.DUMMYFUNCTION("""COMPUTED_VALUE"""),12.254608944394056)</f>
        <v>12.25460894</v>
      </c>
      <c r="T66" s="108">
        <f>IFERROR(__xludf.DUMMYFUNCTION("""COMPUTED_VALUE"""),11.377568082978675)</f>
        <v>11.37756808</v>
      </c>
      <c r="U66" s="108">
        <f>IFERROR(__xludf.DUMMYFUNCTION("""COMPUTED_VALUE"""),0.8770408614153808)</f>
        <v>0.8770408614</v>
      </c>
      <c r="V66" s="108">
        <f>IFERROR(__xludf.DUMMYFUNCTION("""COMPUTED_VALUE"""),5.55000063195546)</f>
        <v>5.550000632</v>
      </c>
      <c r="W66" s="109">
        <f>IFERROR(__xludf.DUMMYFUNCTION("""COMPUTED_VALUE"""),5.152796824213163)</f>
        <v>5.152796824</v>
      </c>
      <c r="X66" s="109">
        <f>IFERROR(__xludf.DUMMYFUNCTION("""COMPUTED_VALUE"""),0.39720380774229724)</f>
        <v>0.3972038077</v>
      </c>
      <c r="Y66" s="109">
        <f>IFERROR(__xludf.DUMMYFUNCTION("""COMPUTED_VALUE"""),0.8770408614153805)</f>
        <v>0.8770408614</v>
      </c>
      <c r="Z66" s="99">
        <f>IFERROR(__xludf.DUMMYFUNCTION("""COMPUTED_VALUE"""),400.58923312035677)</f>
        <v>400.5892331</v>
      </c>
      <c r="AA66" s="100" t="str">
        <f>IFERROR(__xludf.DUMMYFUNCTION("""COMPUTED_VALUE"""),"JUST AVERAGE")</f>
        <v>JUST AVERAGE</v>
      </c>
    </row>
    <row r="67">
      <c r="A67" s="87">
        <v>2025.0</v>
      </c>
      <c r="B67" s="88" t="s">
        <v>21</v>
      </c>
      <c r="C67" s="89" t="s">
        <v>78</v>
      </c>
      <c r="D67" s="98">
        <f>IFERROR(__xludf.DUMMYFUNCTION("""COMPUTED_VALUE"""),176469.11)</f>
        <v>176469.11</v>
      </c>
      <c r="E67" s="98">
        <f>IFERROR(__xludf.DUMMYFUNCTION("""COMPUTED_VALUE"""),169686.28333333335)</f>
        <v>169686.2833</v>
      </c>
      <c r="F67" s="91">
        <f t="shared" si="1"/>
        <v>6782.826667</v>
      </c>
      <c r="G67" s="100" t="str">
        <f>IFERROR(__xludf.DUMMYFUNCTION("""COMPUTED_VALUE"""),"Chop Cheong Bee Sdn Bhd")</f>
        <v>Chop Cheong Bee Sdn Bhd</v>
      </c>
      <c r="H67" s="99">
        <f>IFERROR(__xludf.DUMMYFUNCTION("""COMPUTED_VALUE"""),15000.0)</f>
        <v>15000</v>
      </c>
      <c r="I67" s="98">
        <f>IFERROR(__xludf.DUMMYFUNCTION("""COMPUTED_VALUE"""),2.13)</f>
        <v>2.13</v>
      </c>
      <c r="J67" s="99">
        <f>IFERROR(__xludf.DUMMYFUNCTION("""COMPUTED_VALUE"""),730.0)</f>
        <v>730</v>
      </c>
      <c r="K67" s="95">
        <f>IFERROR(__xludf.DUMMYFUNCTION("""COMPUTED_VALUE"""),0.048666666666666664)</f>
        <v>0.04866666667</v>
      </c>
      <c r="L67" s="110">
        <f>IFERROR(__xludf.DUMMYFUNCTION("""COMPUTED_VALUE"""),0.9513333333333334)</f>
        <v>0.9513333333</v>
      </c>
      <c r="M67" s="111">
        <f>IFERROR(__xludf.DUMMYFUNCTION("""COMPUTED_VALUE"""),37.0)</f>
        <v>37</v>
      </c>
      <c r="N67" s="100">
        <f>IFERROR(__xludf.DUMMYFUNCTION("""COMPUTED_VALUE"""),939.0)</f>
        <v>939</v>
      </c>
      <c r="O67" s="112">
        <f>IFERROR(__xludf.DUMMYFUNCTION("""COMPUTED_VALUE"""),1.3967743586143044)</f>
        <v>1.396774359</v>
      </c>
      <c r="P67" s="99">
        <f>IFERROR(__xludf.DUMMYFUNCTION("""COMPUTED_VALUE"""),14270.0)</f>
        <v>14270</v>
      </c>
      <c r="Q67" s="98">
        <f>IFERROR(__xludf.DUMMYFUNCTION("""COMPUTED_VALUE"""),33613.16)</f>
        <v>33613.16</v>
      </c>
      <c r="R67" s="98">
        <f>IFERROR(__xludf.DUMMYFUNCTION("""COMPUTED_VALUE"""),2.355512263489839)</f>
        <v>2.355512263</v>
      </c>
      <c r="S67" s="91">
        <f>IFERROR(__xludf.DUMMYFUNCTION("""COMPUTED_VALUE"""),12.366440784863348)</f>
        <v>12.36644078</v>
      </c>
      <c r="T67" s="109">
        <f>IFERROR(__xludf.DUMMYFUNCTION("""COMPUTED_VALUE"""),11.89112006540528)</f>
        <v>11.89112007</v>
      </c>
      <c r="U67" s="109">
        <f>IFERROR(__xludf.DUMMYFUNCTION("""COMPUTED_VALUE"""),0.4753207194580682)</f>
        <v>0.4753207195</v>
      </c>
      <c r="V67" s="109">
        <f>IFERROR(__xludf.DUMMYFUNCTION("""COMPUTED_VALUE"""),5.250000595005051)</f>
        <v>5.250000595</v>
      </c>
      <c r="W67" s="109">
        <f>IFERROR(__xludf.DUMMYFUNCTION("""COMPUTED_VALUE"""),5.048209788467771)</f>
        <v>5.048209788</v>
      </c>
      <c r="X67" s="109">
        <f>IFERROR(__xludf.DUMMYFUNCTION("""COMPUTED_VALUE"""),0.20179080653727954)</f>
        <v>0.2017908065</v>
      </c>
      <c r="Y67" s="109">
        <f>IFERROR(__xludf.DUMMYFUNCTION("""COMPUTED_VALUE"""),0.4753207194580681)</f>
        <v>0.4753207195</v>
      </c>
      <c r="Z67" s="113">
        <f>IFERROR(__xludf.DUMMYFUNCTION("""COMPUTED_VALUE"""),433.60083093403955)</f>
        <v>433.6008309</v>
      </c>
      <c r="AA67" s="100" t="str">
        <f>IFERROR(__xludf.DUMMYFUNCTION("""COMPUTED_VALUE"""),"VERY BAD")</f>
        <v>VERY BAD</v>
      </c>
    </row>
    <row r="68">
      <c r="A68" s="87">
        <v>2025.0</v>
      </c>
      <c r="B68" s="88" t="s">
        <v>21</v>
      </c>
      <c r="C68" s="89" t="s">
        <v>79</v>
      </c>
      <c r="D68" s="98">
        <f>IFERROR(__xludf.DUMMYFUNCTION("""COMPUTED_VALUE"""),179737.98)</f>
        <v>179737.98</v>
      </c>
      <c r="E68" s="98">
        <f>IFERROR(__xludf.DUMMYFUNCTION("""COMPUTED_VALUE"""),162054.68333333332)</f>
        <v>162054.6833</v>
      </c>
      <c r="F68" s="91">
        <f t="shared" si="1"/>
        <v>17683.29667</v>
      </c>
      <c r="G68" s="107" t="s">
        <v>82</v>
      </c>
      <c r="H68" s="93">
        <v>15000.0</v>
      </c>
      <c r="I68" s="107">
        <v>2.13</v>
      </c>
      <c r="J68" s="93">
        <v>707.0</v>
      </c>
      <c r="K68" s="95">
        <v>0.0471</v>
      </c>
      <c r="L68" s="95">
        <v>0.9529</v>
      </c>
      <c r="M68" s="107">
        <v>37.0</v>
      </c>
      <c r="N68" s="107">
        <v>951.0</v>
      </c>
      <c r="O68" s="107">
        <v>1.39</v>
      </c>
      <c r="P68" s="93">
        <v>14293.0</v>
      </c>
      <c r="Q68" s="91">
        <v>34235.8</v>
      </c>
      <c r="R68" s="107">
        <v>2.4</v>
      </c>
      <c r="S68" s="107">
        <v>12.58</v>
      </c>
      <c r="T68" s="107">
        <v>11.34</v>
      </c>
      <c r="U68" s="107">
        <v>1.24</v>
      </c>
      <c r="V68" s="107">
        <v>5.25</v>
      </c>
      <c r="W68" s="107">
        <v>4.73</v>
      </c>
      <c r="X68" s="107">
        <v>0.52</v>
      </c>
      <c r="Y68" s="107">
        <v>1.24</v>
      </c>
      <c r="Z68" s="107">
        <v>444.0</v>
      </c>
      <c r="AA68" s="107" t="s">
        <v>83</v>
      </c>
    </row>
    <row r="69">
      <c r="A69" s="114">
        <v>2026.0</v>
      </c>
      <c r="B69" s="115" t="s">
        <v>12</v>
      </c>
      <c r="C69" s="116" t="s">
        <v>84</v>
      </c>
      <c r="D69" s="117">
        <f>IFERROR(__xludf.DUMMYFUNCTION("TRANSPOSE(IMPORTRANGE(""1o4Ac6NI0SfLibsumFt9f9lHwJFVrF2ykccRsQvuxGAI"", ""2026!C12:E12""))"),225588.27)</f>
        <v>225588.27</v>
      </c>
      <c r="E69" s="117">
        <f>IFERROR(__xludf.DUMMYFUNCTION("TRANSPOSE(IMPORTRANGE(""1o4Ac6NI0SfLibsumFt9f9lHwJFVrF2ykccRsQvuxGAI"", ""2026!C37:E37""))"),224165.79000000004)</f>
        <v>224165.79</v>
      </c>
      <c r="F69" s="118">
        <f t="shared" si="1"/>
        <v>1422.48</v>
      </c>
      <c r="G69" s="114" t="s">
        <v>85</v>
      </c>
      <c r="H69" s="119">
        <v>17000.0</v>
      </c>
      <c r="I69" s="118">
        <v>2.38</v>
      </c>
      <c r="J69" s="119">
        <v>1193.0</v>
      </c>
      <c r="K69" s="120">
        <v>0.0702</v>
      </c>
      <c r="L69" s="120">
        <v>0.9298</v>
      </c>
      <c r="M69" s="114">
        <v>32.0</v>
      </c>
      <c r="N69" s="119">
        <v>1189.0</v>
      </c>
      <c r="O69" s="114">
        <v>1.55</v>
      </c>
      <c r="P69" s="119">
        <v>15807.0</v>
      </c>
      <c r="Q69" s="118">
        <v>38235.3</v>
      </c>
      <c r="R69" s="114">
        <v>2.42</v>
      </c>
      <c r="S69" s="114">
        <v>14.27</v>
      </c>
      <c r="T69" s="114">
        <v>14.18</v>
      </c>
      <c r="U69" s="114">
        <v>0.09</v>
      </c>
      <c r="V69" s="114">
        <v>5.9</v>
      </c>
      <c r="W69" s="114">
        <v>5.86</v>
      </c>
      <c r="X69" s="114">
        <v>0.04</v>
      </c>
      <c r="Y69" s="119">
        <v>0.09</v>
      </c>
      <c r="Z69" s="114">
        <v>452.0</v>
      </c>
      <c r="AA69" s="114" t="s">
        <v>81</v>
      </c>
    </row>
    <row r="70">
      <c r="A70" s="114">
        <v>2026.0</v>
      </c>
      <c r="B70" s="115" t="s">
        <v>12</v>
      </c>
      <c r="C70" s="116" t="s">
        <v>86</v>
      </c>
      <c r="D70" s="117">
        <f>IFERROR(__xludf.DUMMYFUNCTION("""COMPUTED_VALUE"""),199653.25)</f>
        <v>199653.25</v>
      </c>
      <c r="E70" s="117">
        <f>IFERROR(__xludf.DUMMYFUNCTION("""COMPUTED_VALUE"""),201399.48999999996)</f>
        <v>201399.49</v>
      </c>
      <c r="F70" s="118">
        <f t="shared" si="1"/>
        <v>-1746.24</v>
      </c>
      <c r="G70" s="114" t="s">
        <v>85</v>
      </c>
      <c r="H70" s="119">
        <v>17000.0</v>
      </c>
      <c r="I70" s="114">
        <v>2.38</v>
      </c>
      <c r="J70" s="114">
        <v>963.0</v>
      </c>
      <c r="K70" s="120">
        <v>0.0566</v>
      </c>
      <c r="L70" s="120">
        <v>0.9434</v>
      </c>
      <c r="M70" s="114">
        <v>30.0</v>
      </c>
      <c r="N70" s="119">
        <v>2420.0</v>
      </c>
      <c r="O70" s="114">
        <v>1.6</v>
      </c>
      <c r="P70" s="119">
        <v>16037.0</v>
      </c>
      <c r="Q70" s="118">
        <v>75846.72</v>
      </c>
      <c r="R70" s="114">
        <v>4.73</v>
      </c>
      <c r="S70" s="114">
        <v>12.45</v>
      </c>
      <c r="T70" s="114">
        <v>12.56</v>
      </c>
      <c r="U70" s="114">
        <v>-0.11</v>
      </c>
      <c r="V70" s="114">
        <v>2.63</v>
      </c>
      <c r="W70" s="119">
        <v>2.66</v>
      </c>
      <c r="X70" s="114">
        <v>-0.02</v>
      </c>
      <c r="Y70" s="114">
        <v>-0.11</v>
      </c>
      <c r="Z70" s="114">
        <v>932.0</v>
      </c>
      <c r="AA70" s="114" t="s">
        <v>81</v>
      </c>
    </row>
    <row r="71">
      <c r="A71" s="114">
        <v>2026.0</v>
      </c>
      <c r="B71" s="115" t="s">
        <v>12</v>
      </c>
      <c r="C71" s="116" t="s">
        <v>87</v>
      </c>
      <c r="D71" s="117">
        <f>IFERROR(__xludf.DUMMYFUNCTION("""COMPUTED_VALUE"""),0.0)</f>
        <v>0</v>
      </c>
      <c r="E71" s="117">
        <f>IFERROR(__xludf.DUMMYFUNCTION("""COMPUTED_VALUE"""),9580.57)</f>
        <v>9580.57</v>
      </c>
      <c r="F71" s="118">
        <f t="shared" si="1"/>
        <v>-9580.57</v>
      </c>
      <c r="G71" s="114" t="s">
        <v>88</v>
      </c>
      <c r="H71" s="121">
        <v>23000.0</v>
      </c>
      <c r="I71" s="122">
        <v>2.38</v>
      </c>
      <c r="J71" s="122"/>
      <c r="K71" s="123">
        <v>0.0</v>
      </c>
      <c r="L71" s="123">
        <v>1.0</v>
      </c>
      <c r="M71" s="122"/>
      <c r="N71" s="121"/>
      <c r="O71" s="122">
        <v>0.0</v>
      </c>
      <c r="P71" s="121">
        <v>23000.0</v>
      </c>
      <c r="Q71" s="124"/>
      <c r="R71" s="122">
        <v>0.0</v>
      </c>
      <c r="S71" s="122">
        <v>0.0</v>
      </c>
      <c r="T71" s="122">
        <v>0.42</v>
      </c>
      <c r="U71" s="122">
        <v>-0.42</v>
      </c>
      <c r="V71" s="122">
        <v>0.0</v>
      </c>
      <c r="W71" s="121">
        <v>0.0</v>
      </c>
      <c r="X71" s="122">
        <v>0.0</v>
      </c>
      <c r="Y71" s="122">
        <v>-0.42</v>
      </c>
      <c r="Z71" s="122">
        <v>0.0</v>
      </c>
      <c r="AA71" s="122" t="s">
        <v>81</v>
      </c>
    </row>
    <row r="72">
      <c r="A72" s="114">
        <v>2026.0</v>
      </c>
      <c r="B72" s="115" t="s">
        <v>17</v>
      </c>
      <c r="C72" s="116" t="s">
        <v>84</v>
      </c>
      <c r="D72" s="117">
        <f>IFERROR(__xludf.DUMMYFUNCTION("TRANSPOSE(IMPORTRANGE(""1OP-qxVLNURBqstk-WZQd8qB2vYxDQLc8s35zWl_CMzo"", ""2026!C12:E12""))"),506890.29)</f>
        <v>506890.29</v>
      </c>
      <c r="E72" s="117">
        <f>IFERROR(__xludf.DUMMYFUNCTION("TRANSPOSE(IMPORTRANGE(""1OP-qxVLNURBqstk-WZQd8qB2vYxDQLc8s35zWl_CMzo"", ""2026!C37:E37""))"),428731.45)</f>
        <v>428731.45</v>
      </c>
      <c r="F72" s="118">
        <f t="shared" si="1"/>
        <v>78158.84</v>
      </c>
      <c r="G72" s="114" t="s">
        <v>82</v>
      </c>
      <c r="H72" s="121">
        <v>43800.0</v>
      </c>
      <c r="I72" s="122">
        <v>2.13</v>
      </c>
      <c r="J72" s="121">
        <v>2180.0</v>
      </c>
      <c r="K72" s="123">
        <v>0.0498</v>
      </c>
      <c r="L72" s="123">
        <v>0.9502</v>
      </c>
      <c r="M72" s="122">
        <v>40.0</v>
      </c>
      <c r="N72" s="121">
        <v>2739.0</v>
      </c>
      <c r="O72" s="122">
        <v>1.42</v>
      </c>
      <c r="P72" s="121">
        <v>41620.0</v>
      </c>
      <c r="Q72" s="124">
        <v>96550.52</v>
      </c>
      <c r="R72" s="122">
        <v>2.32</v>
      </c>
      <c r="S72" s="122">
        <v>12.18</v>
      </c>
      <c r="T72" s="122">
        <v>10.3</v>
      </c>
      <c r="U72" s="122">
        <v>1.88</v>
      </c>
      <c r="V72" s="122">
        <v>5.25</v>
      </c>
      <c r="W72" s="121">
        <v>4.44</v>
      </c>
      <c r="X72" s="122">
        <v>0.81</v>
      </c>
      <c r="Y72" s="122">
        <v>1.88</v>
      </c>
      <c r="Z72" s="122">
        <v>389.0</v>
      </c>
      <c r="AA72" s="122" t="s">
        <v>83</v>
      </c>
    </row>
    <row r="73">
      <c r="A73" s="114">
        <v>2026.0</v>
      </c>
      <c r="B73" s="115" t="s">
        <v>17</v>
      </c>
      <c r="C73" s="116" t="s">
        <v>86</v>
      </c>
      <c r="D73" s="117">
        <f>IFERROR(__xludf.DUMMYFUNCTION("""COMPUTED_VALUE"""),0.0)</f>
        <v>0</v>
      </c>
      <c r="E73" s="117">
        <f>IFERROR(__xludf.DUMMYFUNCTION("""COMPUTED_VALUE"""),0.0)</f>
        <v>0</v>
      </c>
      <c r="F73" s="118">
        <f t="shared" si="1"/>
        <v>0</v>
      </c>
      <c r="G73" s="125"/>
      <c r="H73" s="114">
        <v>0.0</v>
      </c>
      <c r="I73" s="114">
        <v>0.0</v>
      </c>
      <c r="J73" s="114">
        <v>0.0</v>
      </c>
      <c r="K73" s="114">
        <v>0.0</v>
      </c>
      <c r="L73" s="114">
        <v>0.0</v>
      </c>
      <c r="M73" s="114">
        <v>0.0</v>
      </c>
      <c r="N73" s="114">
        <v>0.0</v>
      </c>
      <c r="O73" s="114">
        <v>0.0</v>
      </c>
      <c r="P73" s="114">
        <v>0.0</v>
      </c>
      <c r="Q73" s="114">
        <v>0.0</v>
      </c>
      <c r="R73" s="114">
        <v>0.0</v>
      </c>
      <c r="S73" s="114">
        <v>0.0</v>
      </c>
      <c r="T73" s="114">
        <v>0.0</v>
      </c>
      <c r="U73" s="114">
        <v>0.0</v>
      </c>
      <c r="V73" s="114">
        <v>0.0</v>
      </c>
      <c r="W73" s="114">
        <v>0.0</v>
      </c>
      <c r="X73" s="114">
        <v>0.0</v>
      </c>
      <c r="Y73" s="114">
        <v>0.0</v>
      </c>
      <c r="Z73" s="114">
        <v>0.0</v>
      </c>
      <c r="AA73" s="125"/>
    </row>
    <row r="74">
      <c r="A74" s="114">
        <v>2026.0</v>
      </c>
      <c r="B74" s="115" t="s">
        <v>17</v>
      </c>
      <c r="C74" s="116" t="s">
        <v>87</v>
      </c>
      <c r="D74" s="117">
        <f>IFERROR(__xludf.DUMMYFUNCTION("""COMPUTED_VALUE"""),0.0)</f>
        <v>0</v>
      </c>
      <c r="E74" s="117">
        <f>IFERROR(__xludf.DUMMYFUNCTION("""COMPUTED_VALUE"""),0.0)</f>
        <v>0</v>
      </c>
      <c r="F74" s="118">
        <f t="shared" si="1"/>
        <v>0</v>
      </c>
      <c r="G74" s="125"/>
      <c r="H74" s="114">
        <v>0.0</v>
      </c>
      <c r="I74" s="114">
        <v>0.0</v>
      </c>
      <c r="J74" s="114">
        <v>0.0</v>
      </c>
      <c r="K74" s="114">
        <v>0.0</v>
      </c>
      <c r="L74" s="114">
        <v>0.0</v>
      </c>
      <c r="M74" s="114">
        <v>0.0</v>
      </c>
      <c r="N74" s="114">
        <v>0.0</v>
      </c>
      <c r="O74" s="114">
        <v>0.0</v>
      </c>
      <c r="P74" s="114">
        <v>0.0</v>
      </c>
      <c r="Q74" s="114">
        <v>0.0</v>
      </c>
      <c r="R74" s="114">
        <v>0.0</v>
      </c>
      <c r="S74" s="114">
        <v>0.0</v>
      </c>
      <c r="T74" s="114">
        <v>0.0</v>
      </c>
      <c r="U74" s="114">
        <v>0.0</v>
      </c>
      <c r="V74" s="114">
        <v>0.0</v>
      </c>
      <c r="W74" s="114">
        <v>0.0</v>
      </c>
      <c r="X74" s="114">
        <v>0.0</v>
      </c>
      <c r="Y74" s="114">
        <v>0.0</v>
      </c>
      <c r="Z74" s="114">
        <v>0.0</v>
      </c>
      <c r="AA74" s="125"/>
    </row>
    <row r="75">
      <c r="A75" s="114">
        <v>2026.0</v>
      </c>
      <c r="B75" s="115" t="s">
        <v>21</v>
      </c>
      <c r="C75" s="116" t="s">
        <v>84</v>
      </c>
      <c r="D75" s="117">
        <f>IFERROR(__xludf.DUMMYFUNCTION("TRANSPOSE(IMPORTRANGE(""1Y1LY7dyNGLp0NieLSn-6awoDagvXjF5SwgLKBcwcayI"", ""2026!C12:E12""))"),167750.13)</f>
        <v>167750.13</v>
      </c>
      <c r="E75" s="117">
        <f>IFERROR(__xludf.DUMMYFUNCTION("TRANSPOSE(IMPORTRANGE(""1Y1LY7dyNGLp0NieLSn-6awoDagvXjF5SwgLKBcwcayI"", ""2026!C37:E37""))"),151857.83333333334)</f>
        <v>151857.8333</v>
      </c>
      <c r="F75" s="118">
        <f t="shared" si="1"/>
        <v>15892.29667</v>
      </c>
      <c r="G75" s="114" t="s">
        <v>82</v>
      </c>
      <c r="H75" s="121">
        <v>15000.0</v>
      </c>
      <c r="I75" s="122">
        <v>2.13</v>
      </c>
      <c r="J75" s="121">
        <v>604.0</v>
      </c>
      <c r="K75" s="123">
        <v>0.0403</v>
      </c>
      <c r="L75" s="123">
        <v>0.9597</v>
      </c>
      <c r="M75" s="122">
        <v>37.0</v>
      </c>
      <c r="N75" s="121">
        <v>890.0</v>
      </c>
      <c r="O75" s="122">
        <v>1.39</v>
      </c>
      <c r="P75" s="121">
        <v>14396.0</v>
      </c>
      <c r="Q75" s="124">
        <v>31952.4</v>
      </c>
      <c r="R75" s="122">
        <v>2.22</v>
      </c>
      <c r="S75" s="122">
        <v>11.65</v>
      </c>
      <c r="T75" s="122">
        <v>10.55</v>
      </c>
      <c r="U75" s="122">
        <v>1.1</v>
      </c>
      <c r="V75" s="122">
        <v>5.25</v>
      </c>
      <c r="W75" s="121">
        <v>4.75</v>
      </c>
      <c r="X75" s="122">
        <v>0.5</v>
      </c>
      <c r="Y75" s="122">
        <v>1.1</v>
      </c>
      <c r="Z75" s="122">
        <v>414.0</v>
      </c>
      <c r="AA75" s="122" t="s">
        <v>83</v>
      </c>
    </row>
    <row r="76">
      <c r="A76" s="114">
        <v>2026.0</v>
      </c>
      <c r="B76" s="115" t="s">
        <v>21</v>
      </c>
      <c r="C76" s="116" t="s">
        <v>86</v>
      </c>
      <c r="D76" s="117">
        <f>IFERROR(__xludf.DUMMYFUNCTION("""COMPUTED_VALUE"""),152144.5)</f>
        <v>152144.5</v>
      </c>
      <c r="E76" s="117">
        <f>IFERROR(__xludf.DUMMYFUNCTION("""COMPUTED_VALUE"""),156428.35833333334)</f>
        <v>156428.3583</v>
      </c>
      <c r="F76" s="118">
        <f t="shared" si="1"/>
        <v>-4283.858333</v>
      </c>
      <c r="G76" s="114" t="s">
        <v>82</v>
      </c>
      <c r="H76" s="121">
        <v>15000.0</v>
      </c>
      <c r="I76" s="122">
        <v>2.13</v>
      </c>
      <c r="J76" s="121">
        <v>980.0</v>
      </c>
      <c r="K76" s="123">
        <v>0.0653</v>
      </c>
      <c r="L76" s="123">
        <v>0.9347</v>
      </c>
      <c r="M76" s="122">
        <v>38.0</v>
      </c>
      <c r="N76" s="121">
        <v>883.0</v>
      </c>
      <c r="O76" s="122">
        <v>1.52</v>
      </c>
      <c r="P76" s="121">
        <v>14020.0</v>
      </c>
      <c r="Q76" s="124">
        <v>28979.9</v>
      </c>
      <c r="R76" s="122">
        <v>2.07</v>
      </c>
      <c r="S76" s="122">
        <v>10.85</v>
      </c>
      <c r="T76" s="122">
        <v>11.16</v>
      </c>
      <c r="U76" s="122">
        <v>-0.31</v>
      </c>
      <c r="V76" s="122">
        <v>5.25</v>
      </c>
      <c r="W76" s="121">
        <v>5.4</v>
      </c>
      <c r="X76" s="122">
        <v>-0.15</v>
      </c>
      <c r="Y76" s="122">
        <v>-0.31</v>
      </c>
      <c r="Z76" s="122">
        <v>334.0</v>
      </c>
      <c r="AA76" s="122" t="s">
        <v>81</v>
      </c>
    </row>
    <row r="77">
      <c r="A77" s="114">
        <v>2026.0</v>
      </c>
      <c r="B77" s="115" t="s">
        <v>21</v>
      </c>
      <c r="C77" s="116" t="s">
        <v>87</v>
      </c>
      <c r="D77" s="117">
        <f>IFERROR(__xludf.DUMMYFUNCTION("""COMPUTED_VALUE"""),164068.3)</f>
        <v>164068.3</v>
      </c>
      <c r="E77" s="117">
        <f>IFERROR(__xludf.DUMMYFUNCTION("""COMPUTED_VALUE"""),151468.33333333334)</f>
        <v>151468.3333</v>
      </c>
      <c r="F77" s="118">
        <f t="shared" si="1"/>
        <v>12599.96667</v>
      </c>
      <c r="G77" s="114" t="s">
        <v>82</v>
      </c>
      <c r="H77" s="121">
        <v>15000.0</v>
      </c>
      <c r="I77" s="122">
        <v>2.28</v>
      </c>
      <c r="J77" s="121">
        <v>716.0</v>
      </c>
      <c r="K77" s="123">
        <v>0.0477</v>
      </c>
      <c r="L77" s="123">
        <v>0.9523</v>
      </c>
      <c r="M77" s="122">
        <v>33.0</v>
      </c>
      <c r="N77" s="121">
        <v>873.0</v>
      </c>
      <c r="O77" s="122">
        <v>1.4</v>
      </c>
      <c r="P77" s="121">
        <v>14284.0</v>
      </c>
      <c r="Q77" s="124">
        <v>31251.1</v>
      </c>
      <c r="R77" s="122">
        <v>2.19</v>
      </c>
      <c r="S77" s="122">
        <v>11.49</v>
      </c>
      <c r="T77" s="122">
        <v>10.6</v>
      </c>
      <c r="U77" s="122">
        <v>0.88</v>
      </c>
      <c r="V77" s="122">
        <v>5.25</v>
      </c>
      <c r="W77" s="121">
        <v>4.85</v>
      </c>
      <c r="X77" s="122">
        <v>0.4</v>
      </c>
      <c r="Y77" s="122">
        <v>0.88</v>
      </c>
      <c r="Z77" s="122">
        <v>451.0</v>
      </c>
      <c r="AA77" s="122" t="s">
        <v>89</v>
      </c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9"/>
      <c r="I79" s="9"/>
      <c r="J79" s="9"/>
      <c r="K79" s="9"/>
      <c r="L79" s="9"/>
      <c r="M79" s="9"/>
      <c r="N79" s="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9"/>
      <c r="I80" s="9"/>
      <c r="J80" s="9"/>
      <c r="K80" s="9"/>
      <c r="L80" s="9"/>
      <c r="M80" s="9"/>
      <c r="N80" s="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9"/>
      <c r="I81" s="9"/>
      <c r="J81" s="9"/>
      <c r="K81" s="9"/>
      <c r="L81" s="9"/>
      <c r="M81" s="9"/>
      <c r="N81" s="9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9"/>
      <c r="I83" s="9"/>
      <c r="J83" s="9"/>
      <c r="K83" s="9"/>
      <c r="L83" s="9"/>
      <c r="M83" s="9"/>
      <c r="N83" s="9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9"/>
      <c r="I84" s="9"/>
      <c r="J84" s="9"/>
      <c r="K84" s="9"/>
      <c r="L84" s="9"/>
      <c r="M84" s="9"/>
      <c r="N84" s="9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9"/>
      <c r="I85" s="9"/>
      <c r="J85" s="9"/>
      <c r="K85" s="9"/>
      <c r="L85" s="9"/>
      <c r="M85" s="9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9"/>
      <c r="I86" s="9"/>
      <c r="J86" s="9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9"/>
      <c r="I87" s="9"/>
      <c r="J87" s="9"/>
      <c r="K87" s="9"/>
      <c r="L87" s="9"/>
      <c r="M87" s="9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9"/>
      <c r="I88" s="9"/>
      <c r="J88" s="9"/>
      <c r="K88" s="9"/>
      <c r="L88" s="9"/>
      <c r="M88" s="9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9"/>
      <c r="I89" s="9"/>
      <c r="J89" s="9"/>
      <c r="K89" s="9"/>
      <c r="L89" s="9"/>
      <c r="M89" s="9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8" width="16.38"/>
  </cols>
  <sheetData>
    <row r="2">
      <c r="C2" s="126"/>
      <c r="D2" s="126"/>
      <c r="E2" s="126"/>
      <c r="F2" s="126"/>
      <c r="G2" s="126"/>
      <c r="H2" s="126"/>
    </row>
    <row r="3">
      <c r="C3" s="127" t="s">
        <v>90</v>
      </c>
      <c r="D3" s="126"/>
      <c r="E3" s="126"/>
      <c r="F3" s="126"/>
      <c r="G3" s="126"/>
      <c r="H3" s="126"/>
    </row>
    <row r="4">
      <c r="B4" s="128"/>
      <c r="C4" s="129"/>
      <c r="D4" s="129"/>
      <c r="E4" s="129"/>
      <c r="F4" s="129"/>
      <c r="G4" s="129"/>
      <c r="H4" s="129"/>
      <c r="L4" s="129"/>
      <c r="M4" s="129"/>
      <c r="N4" s="129"/>
      <c r="O4" s="129"/>
    </row>
    <row r="5">
      <c r="A5" s="129"/>
      <c r="B5" s="130" t="s">
        <v>12</v>
      </c>
      <c r="C5" s="131" t="s">
        <v>91</v>
      </c>
      <c r="J5" s="129"/>
      <c r="K5" s="129"/>
      <c r="L5" s="129"/>
      <c r="M5" s="129"/>
      <c r="N5" s="129"/>
      <c r="O5" s="129"/>
      <c r="P5" s="129"/>
      <c r="Q5" s="132"/>
      <c r="R5" s="132"/>
    </row>
    <row r="6">
      <c r="B6" s="133" t="s">
        <v>17</v>
      </c>
      <c r="C6" s="134" t="s">
        <v>92</v>
      </c>
      <c r="D6" s="129"/>
      <c r="E6" s="129"/>
      <c r="F6" s="129"/>
      <c r="G6" s="129"/>
      <c r="H6" s="129"/>
      <c r="I6" s="126"/>
      <c r="J6" s="126"/>
      <c r="K6" s="126"/>
      <c r="L6" s="126"/>
      <c r="M6" s="126"/>
      <c r="N6" s="126"/>
      <c r="O6" s="126"/>
      <c r="P6" s="129"/>
      <c r="Q6" s="129"/>
      <c r="R6" s="129"/>
      <c r="S6" s="129"/>
      <c r="T6" s="129"/>
      <c r="U6" s="129"/>
      <c r="V6" s="129"/>
      <c r="W6" s="129"/>
      <c r="X6" s="129"/>
      <c r="Y6" s="129"/>
    </row>
    <row r="7">
      <c r="B7" s="128" t="s">
        <v>21</v>
      </c>
      <c r="C7" s="135" t="s">
        <v>93</v>
      </c>
      <c r="L7" s="132"/>
      <c r="M7" s="132"/>
      <c r="N7" s="132"/>
      <c r="O7" s="132"/>
    </row>
    <row r="8">
      <c r="B8" s="128"/>
      <c r="L8" s="132"/>
      <c r="M8" s="132"/>
      <c r="N8" s="132"/>
      <c r="O8" s="132"/>
    </row>
    <row r="9">
      <c r="B9" s="128"/>
      <c r="C9" s="132"/>
      <c r="D9" s="132"/>
      <c r="E9" s="132"/>
      <c r="F9" s="132"/>
      <c r="G9" s="132"/>
      <c r="H9" s="132"/>
    </row>
    <row r="10">
      <c r="B10" s="130"/>
      <c r="C10" s="132"/>
      <c r="D10" s="132"/>
      <c r="E10" s="132"/>
      <c r="F10" s="132"/>
      <c r="G10" s="132"/>
      <c r="H10" s="132"/>
      <c r="L10" s="129"/>
      <c r="M10" s="129"/>
      <c r="N10" s="129"/>
      <c r="O10" s="129"/>
    </row>
    <row r="11">
      <c r="B11" s="130" t="s">
        <v>12</v>
      </c>
      <c r="C11" s="126" t="s">
        <v>94</v>
      </c>
      <c r="D11" s="126"/>
      <c r="E11" s="126"/>
      <c r="F11" s="126"/>
      <c r="G11" s="126"/>
    </row>
    <row r="12">
      <c r="B12" s="133" t="s">
        <v>17</v>
      </c>
      <c r="C12" s="129" t="s">
        <v>95</v>
      </c>
      <c r="D12" s="129"/>
      <c r="E12" s="129"/>
      <c r="F12" s="129"/>
      <c r="L12" s="129"/>
      <c r="M12" s="129"/>
      <c r="N12" s="129"/>
      <c r="O12" s="129"/>
    </row>
    <row r="13">
      <c r="B13" s="128" t="s">
        <v>21</v>
      </c>
      <c r="C13" s="127" t="s">
        <v>96</v>
      </c>
      <c r="L13" s="126"/>
      <c r="M13" s="126"/>
      <c r="N13" s="126"/>
      <c r="O13" s="126"/>
    </row>
    <row r="14">
      <c r="B14" s="128"/>
      <c r="C14" s="136"/>
      <c r="D14" s="137"/>
      <c r="E14" s="136"/>
      <c r="F14" s="136"/>
      <c r="G14" s="136"/>
      <c r="H14" s="136"/>
    </row>
    <row r="15">
      <c r="B15" s="128"/>
      <c r="C15" s="130"/>
      <c r="D15" s="133"/>
      <c r="E15" s="133"/>
      <c r="F15" s="133"/>
      <c r="G15" s="133"/>
      <c r="H15" s="130"/>
    </row>
    <row r="16">
      <c r="B16" s="128"/>
      <c r="C16" s="129"/>
      <c r="D16" s="126"/>
      <c r="H16" s="129"/>
    </row>
    <row r="17">
      <c r="B17" s="128"/>
      <c r="C17" s="129"/>
      <c r="D17" s="126"/>
      <c r="H17" s="129"/>
    </row>
    <row r="18">
      <c r="B18" s="128"/>
      <c r="C18" s="129"/>
      <c r="D18" s="126"/>
      <c r="H18" s="129"/>
    </row>
    <row r="19">
      <c r="B19" s="138"/>
      <c r="C19" s="129"/>
      <c r="D19" s="126"/>
      <c r="E19" s="126"/>
      <c r="F19" s="126"/>
      <c r="G19" s="126"/>
      <c r="H19" s="129"/>
    </row>
    <row r="20">
      <c r="B20" s="138"/>
      <c r="C20" s="126"/>
      <c r="D20" s="126"/>
      <c r="E20" s="126"/>
      <c r="F20" s="126"/>
      <c r="G20" s="126"/>
      <c r="H20" s="126"/>
    </row>
    <row r="21">
      <c r="B21" s="139"/>
      <c r="C21" s="129"/>
      <c r="H21" s="129">
        <v>15000.0</v>
      </c>
    </row>
    <row r="22">
      <c r="C22" s="132"/>
      <c r="D22" s="126"/>
      <c r="E22" s="126"/>
      <c r="F22" s="126"/>
      <c r="G22" s="126"/>
      <c r="H22" s="127">
        <v>2.28</v>
      </c>
    </row>
    <row r="23">
      <c r="C23" s="132"/>
      <c r="D23" s="126"/>
      <c r="E23" s="126"/>
      <c r="F23" s="126"/>
      <c r="G23" s="126"/>
      <c r="H23" s="129">
        <v>716.0</v>
      </c>
    </row>
    <row r="24">
      <c r="H24" s="132">
        <v>0.0477</v>
      </c>
    </row>
    <row r="25">
      <c r="C25" s="129"/>
      <c r="H25" s="132">
        <v>0.9523</v>
      </c>
    </row>
    <row r="26">
      <c r="H26" s="127">
        <v>33.0</v>
      </c>
    </row>
    <row r="27">
      <c r="C27" s="129"/>
      <c r="H27" s="129">
        <v>873.0</v>
      </c>
    </row>
    <row r="28">
      <c r="B28" s="128"/>
      <c r="C28" s="126"/>
      <c r="H28" s="127">
        <v>1.4</v>
      </c>
    </row>
    <row r="29">
      <c r="B29" s="128"/>
      <c r="H29" s="129">
        <v>14284.0</v>
      </c>
    </row>
    <row r="30">
      <c r="B30" s="128"/>
      <c r="H30" s="126">
        <v>31251.1</v>
      </c>
    </row>
    <row r="31">
      <c r="B31" s="128"/>
      <c r="H31" s="127">
        <v>2.19</v>
      </c>
    </row>
    <row r="32">
      <c r="B32" s="128"/>
      <c r="H32" s="127">
        <v>11.49</v>
      </c>
    </row>
    <row r="33">
      <c r="B33" s="128"/>
      <c r="H33" s="127">
        <v>10.6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B34" s="128"/>
      <c r="H34" s="127">
        <v>0.88</v>
      </c>
      <c r="I34" s="133"/>
      <c r="J34" s="128"/>
      <c r="K34" s="128"/>
      <c r="L34" s="128"/>
      <c r="M34" s="128"/>
      <c r="N34" s="128"/>
      <c r="O34" s="128"/>
      <c r="P34" s="128"/>
      <c r="Q34" s="138"/>
      <c r="R34" s="138"/>
      <c r="S34" s="139"/>
    </row>
    <row r="35">
      <c r="B35" s="128"/>
      <c r="H35" s="127">
        <v>5.25</v>
      </c>
      <c r="I35" s="126"/>
    </row>
    <row r="36">
      <c r="B36" s="128"/>
      <c r="C36" s="129"/>
      <c r="D36" s="126"/>
      <c r="E36" s="132"/>
      <c r="H36" s="129">
        <v>4.85</v>
      </c>
      <c r="I36" s="126"/>
    </row>
    <row r="37">
      <c r="B37" s="128" t="s">
        <v>97</v>
      </c>
      <c r="H37" s="127">
        <v>0.4</v>
      </c>
      <c r="I37" s="126"/>
    </row>
    <row r="38">
      <c r="B38" s="128" t="s">
        <v>98</v>
      </c>
      <c r="H38" s="127">
        <v>0.88</v>
      </c>
      <c r="I38" s="126"/>
    </row>
    <row r="39">
      <c r="B39" s="128" t="s">
        <v>99</v>
      </c>
      <c r="H39" s="127">
        <v>451.0</v>
      </c>
      <c r="I39" s="126"/>
    </row>
    <row r="40">
      <c r="B40" s="128"/>
      <c r="H40" s="127" t="s">
        <v>89</v>
      </c>
    </row>
    <row r="41">
      <c r="B41" s="128" t="s">
        <v>100</v>
      </c>
    </row>
    <row r="42">
      <c r="B42" s="128" t="s">
        <v>101</v>
      </c>
    </row>
    <row r="43">
      <c r="B43" s="128" t="s">
        <v>102</v>
      </c>
    </row>
    <row r="44">
      <c r="B44" s="138"/>
    </row>
    <row r="45">
      <c r="B45" s="138" t="s">
        <v>48</v>
      </c>
    </row>
    <row r="46">
      <c r="B46" s="138" t="s">
        <v>49</v>
      </c>
    </row>
    <row r="47">
      <c r="B47" s="128" t="s">
        <v>50</v>
      </c>
    </row>
    <row r="48">
      <c r="B48" s="128"/>
    </row>
  </sheetData>
  <hyperlinks>
    <hyperlink r:id="rId1" ref="C5"/>
    <hyperlink r:id="rId2" ref="C6"/>
    <hyperlink r:id="rId3" ref="C7"/>
  </hyperlinks>
  <drawing r:id="rId4"/>
</worksheet>
</file>